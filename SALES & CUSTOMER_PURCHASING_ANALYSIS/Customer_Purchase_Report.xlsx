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DICKSON ANTIRI\Downloads\"/>
    </mc:Choice>
  </mc:AlternateContent>
  <xr:revisionPtr revIDLastSave="0" documentId="13_ncr:1_{FB8889C0-6F81-4942-85AF-359832C74197}" xr6:coauthVersionLast="47" xr6:coauthVersionMax="47" xr10:uidLastSave="{00000000-0000-0000-0000-000000000000}"/>
  <bookViews>
    <workbookView xWindow="-108" yWindow="-108" windowWidth="23256" windowHeight="12456" activeTab="6" xr2:uid="{00000000-000D-0000-FFFF-FFFF00000000}"/>
  </bookViews>
  <sheets>
    <sheet name="Raw_Data" sheetId="1" r:id="rId1"/>
    <sheet name="RBP" sheetId="3" r:id="rId2"/>
    <sheet name="QBP" sheetId="4" r:id="rId3"/>
    <sheet name="RT" sheetId="5" r:id="rId4"/>
    <sheet name="PP" sheetId="6" r:id="rId5"/>
    <sheet name="Card" sheetId="7" r:id="rId6"/>
    <sheet name="Report" sheetId="8" r:id="rId7"/>
    <sheet name="Clean" sheetId="2" r:id="rId8"/>
  </sheets>
  <definedNames>
    <definedName name="_xlnm._FilterDatabase" localSheetId="7" hidden="1">Clean!$A$1:$G$313</definedName>
    <definedName name="_xlnm._FilterDatabase" localSheetId="0" hidden="1">Raw_Data!$A$1:$I$313</definedName>
    <definedName name="Slicer_City">#N/A</definedName>
    <definedName name="Slicer_Manag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alcChain>
</file>

<file path=xl/sharedStrings.xml><?xml version="1.0" encoding="utf-8"?>
<sst xmlns="http://schemas.openxmlformats.org/spreadsheetml/2006/main" count="3488" uniqueCount="119">
  <si>
    <t>Order ID</t>
  </si>
  <si>
    <t>Date</t>
  </si>
  <si>
    <t>Product</t>
  </si>
  <si>
    <t>Price</t>
  </si>
  <si>
    <t>Quantity</t>
  </si>
  <si>
    <t>Purchase Type</t>
  </si>
  <si>
    <t>Payment Method</t>
  </si>
  <si>
    <t>Manager</t>
  </si>
  <si>
    <t>City</t>
  </si>
  <si>
    <t>Fries</t>
  </si>
  <si>
    <t>$3.49</t>
  </si>
  <si>
    <t xml:space="preserve">Online </t>
  </si>
  <si>
    <t xml:space="preserve"> Gift Card</t>
  </si>
  <si>
    <t xml:space="preserve">  Tom      Jackson </t>
  </si>
  <si>
    <t>London</t>
  </si>
  <si>
    <t>Beverages</t>
  </si>
  <si>
    <t>$2.95</t>
  </si>
  <si>
    <t xml:space="preserve">Pablo Perez  </t>
  </si>
  <si>
    <t>Madrid</t>
  </si>
  <si>
    <t>Sides &amp; Other</t>
  </si>
  <si>
    <t>$4.99</t>
  </si>
  <si>
    <t xml:space="preserve">In-store </t>
  </si>
  <si>
    <t xml:space="preserve"> Joao    Silva </t>
  </si>
  <si>
    <t>Lisbon</t>
  </si>
  <si>
    <t>Burgers</t>
  </si>
  <si>
    <t>$12.99</t>
  </si>
  <si>
    <t xml:space="preserve"> Credit Card</t>
  </si>
  <si>
    <t xml:space="preserve">  Walter Muller  </t>
  </si>
  <si>
    <t>Berlin</t>
  </si>
  <si>
    <t>Chicken Sandwiches</t>
  </si>
  <si>
    <t>$9.95</t>
  </si>
  <si>
    <t xml:space="preserve">  Walter Muller </t>
  </si>
  <si>
    <t xml:space="preserve">Remy    Monet  </t>
  </si>
  <si>
    <t>Paris</t>
  </si>
  <si>
    <t xml:space="preserve"> Remy    Monet </t>
  </si>
  <si>
    <t xml:space="preserve">  Remy Monet </t>
  </si>
  <si>
    <t xml:space="preserve">Remy Monet  </t>
  </si>
  <si>
    <t xml:space="preserve"> Remy Monet </t>
  </si>
  <si>
    <t xml:space="preserve">  Remy Monet  </t>
  </si>
  <si>
    <t xml:space="preserve">  Remy     Monet </t>
  </si>
  <si>
    <t xml:space="preserve"> Pablo Perez </t>
  </si>
  <si>
    <t xml:space="preserve">  Pablo Perez  </t>
  </si>
  <si>
    <t xml:space="preserve">  Pablo Perez </t>
  </si>
  <si>
    <t xml:space="preserve">  Pablo   Perez </t>
  </si>
  <si>
    <t xml:space="preserve">Pablo  Perez  </t>
  </si>
  <si>
    <t xml:space="preserve">  Pablo    Perez  </t>
  </si>
  <si>
    <t>$25.50</t>
  </si>
  <si>
    <t xml:space="preserve"> Joao Silva </t>
  </si>
  <si>
    <t>$33.22</t>
  </si>
  <si>
    <t xml:space="preserve">  Joao    Silva  </t>
  </si>
  <si>
    <t>$21.44</t>
  </si>
  <si>
    <t xml:space="preserve">  Joao    Silva </t>
  </si>
  <si>
    <t>$27.99</t>
  </si>
  <si>
    <t xml:space="preserve">Joao    Silva  </t>
  </si>
  <si>
    <t>$29.05</t>
  </si>
  <si>
    <t xml:space="preserve">  Joao Silva  </t>
  </si>
  <si>
    <t xml:space="preserve">  Joao Silva </t>
  </si>
  <si>
    <t xml:space="preserve">Drive-thru </t>
  </si>
  <si>
    <t xml:space="preserve"> Cash</t>
  </si>
  <si>
    <t xml:space="preserve">Joao Silva  </t>
  </si>
  <si>
    <t xml:space="preserve">Tom Jackson  </t>
  </si>
  <si>
    <t xml:space="preserve"> Tom Jackson </t>
  </si>
  <si>
    <t xml:space="preserve">  Tom Jackson  </t>
  </si>
  <si>
    <t xml:space="preserve">  Tom Jackson </t>
  </si>
  <si>
    <t xml:space="preserve">Walter Muller  </t>
  </si>
  <si>
    <t xml:space="preserve"> Walter Muller </t>
  </si>
  <si>
    <t>$5.24</t>
  </si>
  <si>
    <t>$5.03</t>
  </si>
  <si>
    <t>$5.01</t>
  </si>
  <si>
    <t>$4.78</t>
  </si>
  <si>
    <t>$4.67</t>
  </si>
  <si>
    <t>$13.82</t>
  </si>
  <si>
    <t>$5.31</t>
  </si>
  <si>
    <t>$5.10</t>
  </si>
  <si>
    <t>$9.69</t>
  </si>
  <si>
    <t>$3.41</t>
  </si>
  <si>
    <t>$3.06</t>
  </si>
  <si>
    <t>$3.13</t>
  </si>
  <si>
    <t>$3.65</t>
  </si>
  <si>
    <t>$10.18</t>
  </si>
  <si>
    <t>$12.13</t>
  </si>
  <si>
    <t>$3.30</t>
  </si>
  <si>
    <t>$3.71</t>
  </si>
  <si>
    <t>$5.07</t>
  </si>
  <si>
    <t>$11.97</t>
  </si>
  <si>
    <t>$3.27</t>
  </si>
  <si>
    <t>$3.58</t>
  </si>
  <si>
    <t>$9.16</t>
  </si>
  <si>
    <t>$9.41</t>
  </si>
  <si>
    <t>$13.09</t>
  </si>
  <si>
    <t>$10.26</t>
  </si>
  <si>
    <t>$5.11</t>
  </si>
  <si>
    <t>$3.34</t>
  </si>
  <si>
    <t>$10.29</t>
  </si>
  <si>
    <t>$2.83</t>
  </si>
  <si>
    <t>$2.87</t>
  </si>
  <si>
    <t>$13.50</t>
  </si>
  <si>
    <t>$3.57</t>
  </si>
  <si>
    <t>$13.72</t>
  </si>
  <si>
    <t>$13.32</t>
  </si>
  <si>
    <t>$2.98</t>
  </si>
  <si>
    <t>$12.15</t>
  </si>
  <si>
    <t>$2.89</t>
  </si>
  <si>
    <t>Tom Jackson</t>
  </si>
  <si>
    <t>Pablo Perez</t>
  </si>
  <si>
    <t>Joao Silva</t>
  </si>
  <si>
    <t>Walter Muller</t>
  </si>
  <si>
    <t>Remy Monet</t>
  </si>
  <si>
    <t>Revenue</t>
  </si>
  <si>
    <t>Row Labels</t>
  </si>
  <si>
    <t>Grand Total</t>
  </si>
  <si>
    <t>Sum of Revenue</t>
  </si>
  <si>
    <t>Sum of Quantity</t>
  </si>
  <si>
    <t>Jan</t>
  </si>
  <si>
    <t>Feb</t>
  </si>
  <si>
    <t>Mar</t>
  </si>
  <si>
    <t>Apr</t>
  </si>
  <si>
    <t>May</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</si>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</sst>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x16r2:formatCode16="[$-en-GH,1]dd/mm/yyyy;@"/>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xf numFmtId="0" fontId="0" fillId="0" borderId="0" xfId="0" pivotButton="1"/>
    <xf numFmtId="0" fontId="0" fillId="0" borderId="0" xfId="0" applyAlignment="1">
      <alignment horizontal="left"/>
    </xf>
    <xf numFmtId="10" fontId="0" fillId="0" borderId="0" xfId="0" applyNumberFormat="1"/>
    <xf numFmtId="3" fontId="0" fillId="0" borderId="0" xfId="0" applyNumberFormat="1"/>
    <xf numFmtId="0" fontId="0" fillId="0" borderId="0" xfId="0" applyNumberFormat="1"/>
  </cellXfs>
  <cellStyles count="1">
    <cellStyle name="Normal" xfId="0" builtinId="0"/>
  </cellStyles>
  <dxfs count="3">
    <dxf>
      <numFmt numFmtId="0" formatCode="General"/>
    </dxf>
    <dxf>
      <numFmt numFmtId="164" formatCode="[$]dd/mm/yyyy;@" x16r2:formatCode16="[$-en-GH,1]dd/mm/yyyy;@"/>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[Customer_Purchase_Report.xlsx]RBP!PivotTable1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RBP!$B$3</c:f>
              <c:strCache>
                <c:ptCount val="1"/>
                <c:pt idx="0">
                  <c:v>Total</c:v>
                </c:pt>
              </c:strCache>
            </c:strRef>
          </c:tx>
          <c:spPr>
            <a:solidFill>
              <a:schemeClr val="accent1"/>
            </a:solidFill>
            <a:ln>
              <a:noFill/>
            </a:ln>
            <a:effectLst/>
          </c:spPr>
          <c:invertIfNegative val="0"/>
          <c:cat>
            <c:strRef>
              <c:f>RBP!$A$4:$A$9</c:f>
              <c:strCache>
                <c:ptCount val="5"/>
                <c:pt idx="0">
                  <c:v>Beverages</c:v>
                </c:pt>
                <c:pt idx="1">
                  <c:v>Burgers</c:v>
                </c:pt>
                <c:pt idx="2">
                  <c:v>Chicken Sandwiches</c:v>
                </c:pt>
                <c:pt idx="3">
                  <c:v>Fries</c:v>
                </c:pt>
                <c:pt idx="4">
                  <c:v>Sides &amp; Other</c:v>
                </c:pt>
              </c:strCache>
            </c:strRef>
          </c:cat>
          <c:val>
            <c:numRef>
              <c:f>RBP!$B$4:$B$9</c:f>
              <c:numCache>
                <c:formatCode>General</c:formatCode>
                <c:ptCount val="5"/>
                <c:pt idx="0">
                  <c:v>146517.46000000005</c:v>
                </c:pt>
                <c:pt idx="1">
                  <c:v>458804.54000000004</c:v>
                </c:pt>
                <c:pt idx="2">
                  <c:v>138671.38999999993</c:v>
                </c:pt>
                <c:pt idx="3">
                  <c:v>159023.32000000007</c:v>
                </c:pt>
                <c:pt idx="4">
                  <c:v>64681.360000000008</c:v>
                </c:pt>
              </c:numCache>
            </c:numRef>
          </c:val>
          <c:extLst>
            <c:ext xmlns:c16="http://schemas.microsoft.com/office/drawing/2014/chart" uri="{C3380CC4-5D6E-409C-BE32-E72D297353CC}">
              <c16:uniqueId val="{00000000-09C5-4647-BCCA-BB61463D7BB7}"/>
            </c:ext>
          </c:extLst>
        </c:ser>
        <c:dLbls>
          <c:showLegendKey val="0"/>
          <c:showVal val="0"/>
          <c:showCatName val="0"/>
          <c:showSerName val="0"/>
          <c:showPercent val="0"/>
          <c:showBubbleSize val="0"/>
        </c:dLbls>
        <c:gapWidth val="219"/>
        <c:overlap val="-27"/>
        <c:axId val="1754058368"/>
        <c:axId val="1759090960"/>
      </c:barChart>
      <c:catAx>
        <c:axId val="17540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9090960"/>
        <c:crosses val="autoZero"/>
        <c:auto val="1"/>
        <c:lblAlgn val="ctr"/>
        <c:lblOffset val="100"/>
        <c:noMultiLvlLbl val="0"/>
      </c:catAx>
      <c:valAx>
        <c:axId val="175909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405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[Customer_Purchase_Report.xlsx]QBP!PivotTable1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QUANTITY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QBP!$B$3</c:f>
              <c:strCache>
                <c:ptCount val="1"/>
                <c:pt idx="0">
                  <c:v>Total</c:v>
                </c:pt>
              </c:strCache>
            </c:strRef>
          </c:tx>
          <c:spPr>
            <a:solidFill>
              <a:schemeClr val="accent1"/>
            </a:solidFill>
            <a:ln>
              <a:noFill/>
            </a:ln>
            <a:effectLst/>
          </c:spPr>
          <c:invertIfNegative val="0"/>
          <c:cat>
            <c:strRef>
              <c:f>QBP!$A$4:$A$9</c:f>
              <c:strCache>
                <c:ptCount val="5"/>
                <c:pt idx="0">
                  <c:v>Sides &amp; Other</c:v>
                </c:pt>
                <c:pt idx="1">
                  <c:v>Chicken Sandwiches</c:v>
                </c:pt>
                <c:pt idx="2">
                  <c:v>Burgers</c:v>
                </c:pt>
                <c:pt idx="3">
                  <c:v>Fries</c:v>
                </c:pt>
                <c:pt idx="4">
                  <c:v>Beverages</c:v>
                </c:pt>
              </c:strCache>
            </c:strRef>
          </c:cat>
          <c:val>
            <c:numRef>
              <c:f>QBP!$B$4:$B$9</c:f>
              <c:numCache>
                <c:formatCode>General</c:formatCode>
                <c:ptCount val="5"/>
                <c:pt idx="0">
                  <c:v>12283</c:v>
                </c:pt>
                <c:pt idx="1">
                  <c:v>13593</c:v>
                </c:pt>
                <c:pt idx="2">
                  <c:v>34684</c:v>
                </c:pt>
                <c:pt idx="3">
                  <c:v>41606</c:v>
                </c:pt>
                <c:pt idx="4">
                  <c:v>42698</c:v>
                </c:pt>
              </c:numCache>
            </c:numRef>
          </c:val>
          <c:extLst>
            <c:ext xmlns:c16="http://schemas.microsoft.com/office/drawing/2014/chart" uri="{C3380CC4-5D6E-409C-BE32-E72D297353CC}">
              <c16:uniqueId val="{00000001-8C62-4827-921D-4B0520C1506F}"/>
            </c:ext>
          </c:extLst>
        </c:ser>
        <c:dLbls>
          <c:showLegendKey val="0"/>
          <c:showVal val="0"/>
          <c:showCatName val="0"/>
          <c:showSerName val="0"/>
          <c:showPercent val="0"/>
          <c:showBubbleSize val="0"/>
        </c:dLbls>
        <c:gapWidth val="219"/>
        <c:axId val="1754058368"/>
        <c:axId val="1759090960"/>
      </c:barChart>
      <c:catAx>
        <c:axId val="175405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9090960"/>
        <c:crosses val="autoZero"/>
        <c:auto val="1"/>
        <c:lblAlgn val="ctr"/>
        <c:lblOffset val="100"/>
        <c:noMultiLvlLbl val="0"/>
      </c:catAx>
      <c:valAx>
        <c:axId val="1759090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405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[Customer_Purchase_Report.xlsx]RT!PivotTable1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RT!$B$3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RT!$A$4:$A$9</c:f>
              <c:strCache>
                <c:ptCount val="5"/>
                <c:pt idx="0">
                  <c:v>Jan</c:v>
                </c:pt>
                <c:pt idx="1">
                  <c:v>Feb</c:v>
                </c:pt>
                <c:pt idx="2">
                  <c:v>Mar</c:v>
                </c:pt>
                <c:pt idx="3">
                  <c:v>Apr</c:v>
                </c:pt>
                <c:pt idx="4">
                  <c:v>May</c:v>
                </c:pt>
              </c:strCache>
            </c:strRef>
          </c:cat>
          <c:val>
            <c:numRef>
              <c:f>RT!$B$4:$B$9</c:f>
              <c:numCache>
                <c:formatCode>General</c:formatCode>
                <c:ptCount val="5"/>
                <c:pt idx="0">
                  <c:v>224617.60999999993</c:v>
                </c:pt>
                <c:pt idx="1">
                  <c:v>166188.30999999997</c:v>
                </c:pt>
                <c:pt idx="2">
                  <c:v>185199.30999999997</c:v>
                </c:pt>
                <c:pt idx="3">
                  <c:v>203590.47999999992</c:v>
                </c:pt>
                <c:pt idx="4">
                  <c:v>188102.36000000004</c:v>
                </c:pt>
              </c:numCache>
            </c:numRef>
          </c:val>
          <c:smooth val="0"/>
          <c:extLst>
            <c:ext xmlns:c16="http://schemas.microsoft.com/office/drawing/2014/chart" uri="{C3380CC4-5D6E-409C-BE32-E72D297353CC}">
              <c16:uniqueId val="{00000000-ED2A-447E-8F03-8AE7CAC25A21}"/>
            </c:ext>
          </c:extLst>
        </c:ser>
        <c:dLbls>
          <c:showLegendKey val="0"/>
          <c:showVal val="0"/>
          <c:showCatName val="0"/>
          <c:showSerName val="0"/>
          <c:showPercent val="0"/>
          <c:showBubbleSize val="0"/>
        </c:dLbls>
        <c:marker val="1"/>
        <c:smooth val="0"/>
        <c:axId val="1838263648"/>
        <c:axId val="1759158640"/>
      </c:lineChart>
      <c:catAx>
        <c:axId val="18382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9158640"/>
        <c:crosses val="autoZero"/>
        <c:auto val="1"/>
        <c:lblAlgn val="ctr"/>
        <c:lblOffset val="100"/>
        <c:noMultiLvlLbl val="0"/>
      </c:catAx>
      <c:valAx>
        <c:axId val="1759158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83826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[Customer_Purchase_Report.xlsx]PP!PivotTable1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
            </a:r>
            <a:r>
              <a:rPr lang="en-US" baseline="0"/>
              <a:t> BREAKDOWN OF PAYMENT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3F-471A-8293-7CE1C73B84C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3F-471A-8293-7CE1C73B84C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3F-471A-8293-7CE1C73B84CD}"/>
              </c:ext>
            </c:extLst>
          </c:dPt>
          <c:cat>
            <c:strRef>
              <c:f>PP!$A$4:$A$7</c:f>
              <c:strCache>
                <c:ptCount val="3"/>
                <c:pt idx="0">
                  <c:v> Cash</c:v>
                </c:pt>
                <c:pt idx="1">
                  <c:v> Credit Card</c:v>
                </c:pt>
                <c:pt idx="2">
                  <c:v> Gift Card</c:v>
                </c:pt>
              </c:strCache>
            </c:strRef>
          </c:cat>
          <c:val>
            <c:numRef>
              <c:f>PP!$B$4:$B$7</c:f>
              <c:numCache>
                <c:formatCode>0.00%</c:formatCode>
                <c:ptCount val="3"/>
                <c:pt idx="0">
                  <c:v>0.30615139079485815</c:v>
                </c:pt>
                <c:pt idx="1">
                  <c:v>0.49523887135581462</c:v>
                </c:pt>
                <c:pt idx="2">
                  <c:v>0.19860973784932731</c:v>
                </c:pt>
              </c:numCache>
            </c:numRef>
          </c:val>
          <c:extLst>
            <c:ext xmlns:c16="http://schemas.microsoft.com/office/drawing/2014/chart" uri="{C3380CC4-5D6E-409C-BE32-E72D297353CC}">
              <c16:uniqueId val="{00000000-C7BD-4234-A518-056E08929A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[Customer_Purchase_Report.xlsx]RBP!PivotTable1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PRODUCT</a:t>
            </a:r>
            <a:endParaRPr lang="en-US" b="1"/>
          </a:p>
        </c:rich>
      </c:tx>
      <c:layout>
        <c:manualLayout>
          <c:xMode val="edge"/>
          <c:yMode val="edge"/>
          <c:x val="0.3136553446417118"/>
          <c:y val="3.41130604288499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RBP!$B$3</c:f>
              <c:strCache>
                <c:ptCount val="1"/>
                <c:pt idx="0">
                  <c:v>Total</c:v>
                </c:pt>
              </c:strCache>
            </c:strRef>
          </c:tx>
          <c:spPr>
            <a:solidFill>
              <a:schemeClr val="accent5">
                <a:lumMod val="75000"/>
              </a:schemeClr>
            </a:solidFill>
            <a:ln>
              <a:noFill/>
            </a:ln>
            <a:effectLst/>
          </c:spPr>
          <c:invertIfNegative val="0"/>
          <c:cat>
            <c:strRef>
              <c:f>RBP!$A$4:$A$9</c:f>
              <c:strCache>
                <c:ptCount val="5"/>
                <c:pt idx="0">
                  <c:v>Beverages</c:v>
                </c:pt>
                <c:pt idx="1">
                  <c:v>Burgers</c:v>
                </c:pt>
                <c:pt idx="2">
                  <c:v>Chicken Sandwiches</c:v>
                </c:pt>
                <c:pt idx="3">
                  <c:v>Fries</c:v>
                </c:pt>
                <c:pt idx="4">
                  <c:v>Sides &amp; Other</c:v>
                </c:pt>
              </c:strCache>
            </c:strRef>
          </c:cat>
          <c:val>
            <c:numRef>
              <c:f>RBP!$B$4:$B$9</c:f>
              <c:numCache>
                <c:formatCode>General</c:formatCode>
                <c:ptCount val="5"/>
                <c:pt idx="0">
                  <c:v>146517.46000000005</c:v>
                </c:pt>
                <c:pt idx="1">
                  <c:v>458804.54000000004</c:v>
                </c:pt>
                <c:pt idx="2">
                  <c:v>138671.38999999993</c:v>
                </c:pt>
                <c:pt idx="3">
                  <c:v>159023.32000000007</c:v>
                </c:pt>
                <c:pt idx="4">
                  <c:v>64681.360000000008</c:v>
                </c:pt>
              </c:numCache>
            </c:numRef>
          </c:val>
          <c:extLst>
            <c:ext xmlns:c16="http://schemas.microsoft.com/office/drawing/2014/chart" uri="{C3380CC4-5D6E-409C-BE32-E72D297353CC}">
              <c16:uniqueId val="{00000000-A213-43B1-A593-519133FABD70}"/>
            </c:ext>
          </c:extLst>
        </c:ser>
        <c:dLbls>
          <c:showLegendKey val="0"/>
          <c:showVal val="0"/>
          <c:showCatName val="0"/>
          <c:showSerName val="0"/>
          <c:showPercent val="0"/>
          <c:showBubbleSize val="0"/>
        </c:dLbls>
        <c:gapWidth val="219"/>
        <c:overlap val="-27"/>
        <c:axId val="1754058368"/>
        <c:axId val="1759090960"/>
      </c:barChart>
      <c:catAx>
        <c:axId val="1754058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9090960"/>
        <c:crosses val="autoZero"/>
        <c:auto val="1"/>
        <c:lblAlgn val="ctr"/>
        <c:lblOffset val="100"/>
        <c:noMultiLvlLbl val="0"/>
      </c:catAx>
      <c:valAx>
        <c:axId val="175909096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405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[Customer_Purchase_Report.xlsx]QBP!PivotTable1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baseline="0"/>
              <a:t>QUANTITY BY PRODUCT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QBP!$B$3</c:f>
              <c:strCache>
                <c:ptCount val="1"/>
                <c:pt idx="0">
                  <c:v>Total</c:v>
                </c:pt>
              </c:strCache>
            </c:strRef>
          </c:tx>
          <c:spPr>
            <a:solidFill>
              <a:schemeClr val="accent5">
                <a:lumMod val="75000"/>
              </a:schemeClr>
            </a:solidFill>
            <a:ln>
              <a:noFill/>
            </a:ln>
            <a:effectLst/>
          </c:spPr>
          <c:invertIfNegative val="0"/>
          <c:cat>
            <c:strRef>
              <c:f>QBP!$A$4:$A$9</c:f>
              <c:strCache>
                <c:ptCount val="5"/>
                <c:pt idx="0">
                  <c:v>Sides &amp; Other</c:v>
                </c:pt>
                <c:pt idx="1">
                  <c:v>Chicken Sandwiches</c:v>
                </c:pt>
                <c:pt idx="2">
                  <c:v>Burgers</c:v>
                </c:pt>
                <c:pt idx="3">
                  <c:v>Fries</c:v>
                </c:pt>
                <c:pt idx="4">
                  <c:v>Beverages</c:v>
                </c:pt>
              </c:strCache>
            </c:strRef>
          </c:cat>
          <c:val>
            <c:numRef>
              <c:f>QBP!$B$4:$B$9</c:f>
              <c:numCache>
                <c:formatCode>General</c:formatCode>
                <c:ptCount val="5"/>
                <c:pt idx="0">
                  <c:v>12283</c:v>
                </c:pt>
                <c:pt idx="1">
                  <c:v>13593</c:v>
                </c:pt>
                <c:pt idx="2">
                  <c:v>34684</c:v>
                </c:pt>
                <c:pt idx="3">
                  <c:v>41606</c:v>
                </c:pt>
                <c:pt idx="4">
                  <c:v>42698</c:v>
                </c:pt>
              </c:numCache>
            </c:numRef>
          </c:val>
          <c:extLst>
            <c:ext xmlns:c16="http://schemas.microsoft.com/office/drawing/2014/chart" uri="{C3380CC4-5D6E-409C-BE32-E72D297353CC}">
              <c16:uniqueId val="{00000000-97CE-444C-9CE4-89697DCA6169}"/>
            </c:ext>
          </c:extLst>
        </c:ser>
        <c:dLbls>
          <c:showLegendKey val="0"/>
          <c:showVal val="0"/>
          <c:showCatName val="0"/>
          <c:showSerName val="0"/>
          <c:showPercent val="0"/>
          <c:showBubbleSize val="0"/>
        </c:dLbls>
        <c:gapWidth val="219"/>
        <c:axId val="1754058368"/>
        <c:axId val="1759090960"/>
      </c:barChart>
      <c:catAx>
        <c:axId val="1754058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9090960"/>
        <c:crosses val="autoZero"/>
        <c:auto val="1"/>
        <c:lblAlgn val="ctr"/>
        <c:lblOffset val="100"/>
        <c:noMultiLvlLbl val="0"/>
      </c:catAx>
      <c:valAx>
        <c:axId val="1759090960"/>
        <c:scaling>
          <c:orientation val="minMax"/>
        </c:scaling>
        <c:delete val="0"/>
        <c:axPos val="b"/>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4058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[Customer_Purchase_Report.xlsx]RT!PivotTable1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pivotFmt>
    </c:pivotFmts>
    <c:plotArea>
      <c:layout/>
      <c:lineChart>
        <c:grouping val="standard"/>
        <c:varyColors val="0"/>
        <c:ser>
          <c:idx val="0"/>
          <c:order val="0"/>
          <c:tx>
            <c:strRef>
              <c:f>RT!$B$3</c:f>
              <c:strCache>
                <c:ptCount val="1"/>
                <c:pt idx="0">
                  <c:v>Total</c:v>
                </c:pt>
              </c:strCache>
            </c:strRef>
          </c:tx>
          <c:spPr>
            <a:ln w="28575" cap="rnd">
              <a:solidFill>
                <a:schemeClr val="accent1"/>
              </a:solidFill>
              <a:round/>
            </a:ln>
            <a:effectLst/>
          </c:spPr>
          <c:marker>
            <c:symbol val="circle"/>
            <c:size val="5"/>
            <c:spPr>
              <a:solidFill>
                <a:schemeClr val="accent5">
                  <a:lumMod val="50000"/>
                </a:schemeClr>
              </a:solidFill>
              <a:ln w="9525">
                <a:solidFill>
                  <a:schemeClr val="accent1"/>
                </a:solidFill>
              </a:ln>
              <a:effectLst/>
            </c:spPr>
          </c:marker>
          <c:cat>
            <c:strRef>
              <c:f>RT!$A$4:$A$9</c:f>
              <c:strCache>
                <c:ptCount val="5"/>
                <c:pt idx="0">
                  <c:v>Jan</c:v>
                </c:pt>
                <c:pt idx="1">
                  <c:v>Feb</c:v>
                </c:pt>
                <c:pt idx="2">
                  <c:v>Mar</c:v>
                </c:pt>
                <c:pt idx="3">
                  <c:v>Apr</c:v>
                </c:pt>
                <c:pt idx="4">
                  <c:v>May</c:v>
                </c:pt>
              </c:strCache>
            </c:strRef>
          </c:cat>
          <c:val>
            <c:numRef>
              <c:f>RT!$B$4:$B$9</c:f>
              <c:numCache>
                <c:formatCode>General</c:formatCode>
                <c:ptCount val="5"/>
                <c:pt idx="0">
                  <c:v>224617.60999999993</c:v>
                </c:pt>
                <c:pt idx="1">
                  <c:v>166188.30999999997</c:v>
                </c:pt>
                <c:pt idx="2">
                  <c:v>185199.30999999997</c:v>
                </c:pt>
                <c:pt idx="3">
                  <c:v>203590.47999999992</c:v>
                </c:pt>
                <c:pt idx="4">
                  <c:v>188102.36000000004</c:v>
                </c:pt>
              </c:numCache>
            </c:numRef>
          </c:val>
          <c:smooth val="0"/>
          <c:extLst>
            <c:ext xmlns:c16="http://schemas.microsoft.com/office/drawing/2014/chart" uri="{C3380CC4-5D6E-409C-BE32-E72D297353CC}">
              <c16:uniqueId val="{00000000-E1E3-4FF0-8320-D5306BDF328F}"/>
            </c:ext>
          </c:extLst>
        </c:ser>
        <c:dLbls>
          <c:showLegendKey val="0"/>
          <c:showVal val="0"/>
          <c:showCatName val="0"/>
          <c:showSerName val="0"/>
          <c:showPercent val="0"/>
          <c:showBubbleSize val="0"/>
        </c:dLbls>
        <c:marker val="1"/>
        <c:smooth val="0"/>
        <c:axId val="1838263648"/>
        <c:axId val="1759158640"/>
      </c:lineChart>
      <c:catAx>
        <c:axId val="183826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759158640"/>
        <c:crosses val="autoZero"/>
        <c:auto val="1"/>
        <c:lblAlgn val="ctr"/>
        <c:lblOffset val="100"/>
        <c:noMultiLvlLbl val="0"/>
      </c:catAx>
      <c:valAx>
        <c:axId val="1759158640"/>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crossAx val="183826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[Customer_Purchase_Report.xlsx]PP!PivotTable1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t>
            </a:r>
            <a:r>
              <a:rPr lang="en-US" b="1" baseline="0"/>
              <a:t> BREAKDOWN OF PAYMENT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GH"/>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w="19050">
            <a:solidFill>
              <a:schemeClr val="lt1"/>
            </a:solidFill>
          </a:ln>
          <a:effectLst/>
        </c:spPr>
      </c:pivotFmt>
      <c:pivotFmt>
        <c:idx val="7"/>
        <c:spPr>
          <a:solidFill>
            <a:schemeClr val="accent5">
              <a:lumMod val="50000"/>
            </a:schemeClr>
          </a:solidFill>
          <a:ln w="19050">
            <a:solidFill>
              <a:schemeClr val="lt1"/>
            </a:solidFill>
          </a:ln>
          <a:effectLst/>
        </c:spPr>
      </c:pivotFmt>
      <c:pivotFmt>
        <c:idx val="8"/>
        <c:spPr>
          <a:solidFill>
            <a:schemeClr val="accent5">
              <a:lumMod val="60000"/>
              <a:lumOff val="40000"/>
            </a:schemeClr>
          </a:solidFill>
          <a:ln w="19050">
            <a:solidFill>
              <a:schemeClr val="lt1"/>
            </a:solidFill>
          </a:ln>
          <a:effectLst/>
        </c:spPr>
      </c:pivotFmt>
    </c:pivotFmts>
    <c:plotArea>
      <c:layout/>
      <c:doughnutChart>
        <c:varyColors val="1"/>
        <c:ser>
          <c:idx val="0"/>
          <c:order val="0"/>
          <c:tx>
            <c:strRef>
              <c:f>PP!$B$3</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3E8E-4F63-A7F8-A3582A9652E7}"/>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3E8E-4F63-A7F8-A3582A9652E7}"/>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3E8E-4F63-A7F8-A3582A9652E7}"/>
              </c:ext>
            </c:extLst>
          </c:dPt>
          <c:cat>
            <c:strRef>
              <c:f>PP!$A$4:$A$7</c:f>
              <c:strCache>
                <c:ptCount val="3"/>
                <c:pt idx="0">
                  <c:v> Cash</c:v>
                </c:pt>
                <c:pt idx="1">
                  <c:v> Credit Card</c:v>
                </c:pt>
                <c:pt idx="2">
                  <c:v> Gift Card</c:v>
                </c:pt>
              </c:strCache>
            </c:strRef>
          </c:cat>
          <c:val>
            <c:numRef>
              <c:f>PP!$B$4:$B$7</c:f>
              <c:numCache>
                <c:formatCode>0.00%</c:formatCode>
                <c:ptCount val="3"/>
                <c:pt idx="0">
                  <c:v>0.30615139079485815</c:v>
                </c:pt>
                <c:pt idx="1">
                  <c:v>0.49523887135581462</c:v>
                </c:pt>
                <c:pt idx="2">
                  <c:v>0.19860973784932731</c:v>
                </c:pt>
              </c:numCache>
            </c:numRef>
          </c:val>
          <c:extLst>
            <c:ext xmlns:c16="http://schemas.microsoft.com/office/drawing/2014/chart" uri="{C3380CC4-5D6E-409C-BE32-E72D297353CC}">
              <c16:uniqueId val="{00000006-3E8E-4F63-A7F8-A3582A9652E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GH"/>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GH"/>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8.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3</xdr:col>
      <xdr:colOff>396240</xdr:colOff>
      <xdr:row>2</xdr:row>
      <xdr:rowOff>53340</xdr:rowOff>
    </xdr:from>
    <xdr:to>
      <xdr:col>11</xdr:col>
      <xdr:colOff>91440</xdr:colOff>
      <xdr:row>17</xdr:row>
      <xdr:rowOff>53340</xdr:rowOff>
    </xdr:to>
    <xdr:graphicFrame macro="">
      <xdr:nvGraphicFramePr>
        <xdr:cNvPr id="2" name="Chart 1">
          <a:extLst>
            <a:ext uri="{FF2B5EF4-FFF2-40B4-BE49-F238E27FC236}">
              <a16:creationId xmlns:a16="http://schemas.microsoft.com/office/drawing/2014/main" id="{8FCD5AF9-7972-EA31-3065-EFA13BA4F4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396240</xdr:colOff>
      <xdr:row>2</xdr:row>
      <xdr:rowOff>53340</xdr:rowOff>
    </xdr:from>
    <xdr:to>
      <xdr:col>11</xdr:col>
      <xdr:colOff>91440</xdr:colOff>
      <xdr:row>17</xdr:row>
      <xdr:rowOff>53340</xdr:rowOff>
    </xdr:to>
    <xdr:graphicFrame macro="">
      <xdr:nvGraphicFramePr>
        <xdr:cNvPr id="2" name="Chart 1">
          <a:extLst>
            <a:ext uri="{FF2B5EF4-FFF2-40B4-BE49-F238E27FC236}">
              <a16:creationId xmlns:a16="http://schemas.microsoft.com/office/drawing/2014/main" id="{7CABFE65-B6B1-46D8-AC9D-DEAB1ECA59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350520</xdr:colOff>
      <xdr:row>3</xdr:row>
      <xdr:rowOff>76200</xdr:rowOff>
    </xdr:from>
    <xdr:to>
      <xdr:col>11</xdr:col>
      <xdr:colOff>45720</xdr:colOff>
      <xdr:row>18</xdr:row>
      <xdr:rowOff>76200</xdr:rowOff>
    </xdr:to>
    <xdr:graphicFrame macro="">
      <xdr:nvGraphicFramePr>
        <xdr:cNvPr id="3" name="Chart 2">
          <a:extLst>
            <a:ext uri="{FF2B5EF4-FFF2-40B4-BE49-F238E27FC236}">
              <a16:creationId xmlns:a16="http://schemas.microsoft.com/office/drawing/2014/main" id="{97BDFD18-7E7E-EEF2-DF77-C96132746E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289560</xdr:colOff>
      <xdr:row>3</xdr:row>
      <xdr:rowOff>45720</xdr:rowOff>
    </xdr:from>
    <xdr:to>
      <xdr:col>11</xdr:col>
      <xdr:colOff>594360</xdr:colOff>
      <xdr:row>18</xdr:row>
      <xdr:rowOff>45720</xdr:rowOff>
    </xdr:to>
    <xdr:graphicFrame macro="">
      <xdr:nvGraphicFramePr>
        <xdr:cNvPr id="3" name="Chart 2">
          <a:extLst>
            <a:ext uri="{FF2B5EF4-FFF2-40B4-BE49-F238E27FC236}">
              <a16:creationId xmlns:a16="http://schemas.microsoft.com/office/drawing/2014/main" id="{70FD35F4-47B0-EF14-7A76-C3C9CED495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137584</xdr:colOff>
      <xdr:row>0</xdr:row>
      <xdr:rowOff>0</xdr:rowOff>
    </xdr:from>
    <xdr:to>
      <xdr:col>20</xdr:col>
      <xdr:colOff>63500</xdr:colOff>
      <xdr:row>39</xdr:row>
      <xdr:rowOff>116417</xdr:rowOff>
    </xdr:to>
    <xdr:sp macro="" textlink="">
      <xdr:nvSpPr>
        <xdr:cNvPr id="27" name="Rectangle 26">
          <a:extLst>
            <a:ext uri="{FF2B5EF4-FFF2-40B4-BE49-F238E27FC236}">
              <a16:creationId xmlns:a16="http://schemas.microsoft.com/office/drawing/2014/main" id="{C27052DA-1704-2FFE-7774-665F15D7860C}"/>
            </a:ext>
          </a:extLst>
        </xdr:cNvPr>
        <xdr:cNvSpPr/>
      </xdr:nvSpPr>
      <xdr:spPr>
        <a:xfrm>
          <a:off x="751417" y="0"/>
          <a:ext cx="11588750" cy="7133167"/>
        </a:xfrm>
        <a:prstGeom prst="rect">
          <a:avLst/>
        </a:prstGeom>
        <a:solidFill>
          <a:schemeClr val="accent5">
            <a:lumMod val="40000"/>
            <a:lumOff val="60000"/>
            <a:alpha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2</xdr:col>
      <xdr:colOff>30480</xdr:colOff>
      <xdr:row>4</xdr:row>
      <xdr:rowOff>45720</xdr:rowOff>
    </xdr:from>
    <xdr:to>
      <xdr:col>5</xdr:col>
      <xdr:colOff>15240</xdr:colOff>
      <xdr:row>8</xdr:row>
      <xdr:rowOff>45720</xdr:rowOff>
    </xdr:to>
    <xdr:grpSp>
      <xdr:nvGrpSpPr>
        <xdr:cNvPr id="5" name="Group 4">
          <a:extLst>
            <a:ext uri="{FF2B5EF4-FFF2-40B4-BE49-F238E27FC236}">
              <a16:creationId xmlns:a16="http://schemas.microsoft.com/office/drawing/2014/main" id="{DEACBEFB-0C4D-A7F3-8EBD-67D17816A6F1}"/>
            </a:ext>
          </a:extLst>
        </xdr:cNvPr>
        <xdr:cNvGrpSpPr/>
      </xdr:nvGrpSpPr>
      <xdr:grpSpPr>
        <a:xfrm>
          <a:off x="1256306" y="774590"/>
          <a:ext cx="1823499" cy="728869"/>
          <a:chOff x="1249680" y="777240"/>
          <a:chExt cx="1813560" cy="731520"/>
        </a:xfrm>
      </xdr:grpSpPr>
      <xdr:sp macro="" textlink="">
        <xdr:nvSpPr>
          <xdr:cNvPr id="2" name="Rectangle: Rounded Corners 1">
            <a:extLst>
              <a:ext uri="{FF2B5EF4-FFF2-40B4-BE49-F238E27FC236}">
                <a16:creationId xmlns:a16="http://schemas.microsoft.com/office/drawing/2014/main" id="{0A24CF82-FA27-D494-C3D0-86B6DA64215C}"/>
              </a:ext>
            </a:extLst>
          </xdr:cNvPr>
          <xdr:cNvSpPr/>
        </xdr:nvSpPr>
        <xdr:spPr>
          <a:xfrm>
            <a:off x="1249680" y="777240"/>
            <a:ext cx="1813560" cy="7315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sp macro="" textlink="">
        <xdr:nvSpPr>
          <xdr:cNvPr id="3" name="TextBox 2">
            <a:extLst>
              <a:ext uri="{FF2B5EF4-FFF2-40B4-BE49-F238E27FC236}">
                <a16:creationId xmlns:a16="http://schemas.microsoft.com/office/drawing/2014/main" id="{0BB91674-3DB9-0B37-50C9-7E72AE2B0566}"/>
              </a:ext>
            </a:extLst>
          </xdr:cNvPr>
          <xdr:cNvSpPr txBox="1"/>
        </xdr:nvSpPr>
        <xdr:spPr>
          <a:xfrm>
            <a:off x="1713369" y="883919"/>
            <a:ext cx="1296532" cy="266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REVENUE</a:t>
            </a:r>
            <a:endParaRPr lang="en-GH" sz="1200" b="1">
              <a:solidFill>
                <a:schemeClr val="bg1"/>
              </a:solidFill>
            </a:endParaRPr>
          </a:p>
        </xdr:txBody>
      </xdr:sp>
      <xdr:sp macro="" textlink="Card!A4">
        <xdr:nvSpPr>
          <xdr:cNvPr id="4" name="TextBox 3">
            <a:extLst>
              <a:ext uri="{FF2B5EF4-FFF2-40B4-BE49-F238E27FC236}">
                <a16:creationId xmlns:a16="http://schemas.microsoft.com/office/drawing/2014/main" id="{C12BAA4C-761F-48E8-9CA4-52EE3E834758}"/>
              </a:ext>
            </a:extLst>
          </xdr:cNvPr>
          <xdr:cNvSpPr txBox="1"/>
        </xdr:nvSpPr>
        <xdr:spPr>
          <a:xfrm>
            <a:off x="1851660" y="1150620"/>
            <a:ext cx="1158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A38502-AAC1-4EE6-971E-348C603B925A}" type="TxLink">
              <a:rPr lang="en-US" sz="1100" b="0" i="0" u="none" strike="noStrike">
                <a:solidFill>
                  <a:srgbClr val="000000"/>
                </a:solidFill>
                <a:latin typeface="Calibri"/>
                <a:ea typeface="Calibri"/>
                <a:cs typeface="Calibri"/>
              </a:rPr>
              <a:pPr/>
              <a:t>967,698</a:t>
            </a:fld>
            <a:endParaRPr lang="en-GH" sz="1100"/>
          </a:p>
        </xdr:txBody>
      </xdr:sp>
    </xdr:grpSp>
    <xdr:clientData/>
  </xdr:twoCellAnchor>
  <xdr:twoCellAnchor>
    <xdr:from>
      <xdr:col>5</xdr:col>
      <xdr:colOff>472440</xdr:colOff>
      <xdr:row>4</xdr:row>
      <xdr:rowOff>53340</xdr:rowOff>
    </xdr:from>
    <xdr:to>
      <xdr:col>8</xdr:col>
      <xdr:colOff>457200</xdr:colOff>
      <xdr:row>8</xdr:row>
      <xdr:rowOff>53340</xdr:rowOff>
    </xdr:to>
    <xdr:grpSp>
      <xdr:nvGrpSpPr>
        <xdr:cNvPr id="6" name="Group 5">
          <a:extLst>
            <a:ext uri="{FF2B5EF4-FFF2-40B4-BE49-F238E27FC236}">
              <a16:creationId xmlns:a16="http://schemas.microsoft.com/office/drawing/2014/main" id="{6F278D9D-FB08-4272-832A-38DD6E005916}"/>
            </a:ext>
          </a:extLst>
        </xdr:cNvPr>
        <xdr:cNvGrpSpPr/>
      </xdr:nvGrpSpPr>
      <xdr:grpSpPr>
        <a:xfrm>
          <a:off x="3537005" y="782210"/>
          <a:ext cx="1823499" cy="728869"/>
          <a:chOff x="1249680" y="777240"/>
          <a:chExt cx="1813560" cy="731520"/>
        </a:xfrm>
      </xdr:grpSpPr>
      <xdr:sp macro="" textlink="">
        <xdr:nvSpPr>
          <xdr:cNvPr id="7" name="Rectangle: Rounded Corners 6">
            <a:extLst>
              <a:ext uri="{FF2B5EF4-FFF2-40B4-BE49-F238E27FC236}">
                <a16:creationId xmlns:a16="http://schemas.microsoft.com/office/drawing/2014/main" id="{0093E89C-87BF-C496-A922-BF4CFCAC5AE5}"/>
              </a:ext>
            </a:extLst>
          </xdr:cNvPr>
          <xdr:cNvSpPr/>
        </xdr:nvSpPr>
        <xdr:spPr>
          <a:xfrm>
            <a:off x="1249680" y="777240"/>
            <a:ext cx="1813560" cy="7315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sp macro="" textlink="">
        <xdr:nvSpPr>
          <xdr:cNvPr id="8" name="TextBox 7">
            <a:extLst>
              <a:ext uri="{FF2B5EF4-FFF2-40B4-BE49-F238E27FC236}">
                <a16:creationId xmlns:a16="http://schemas.microsoft.com/office/drawing/2014/main" id="{1C2AFA12-9556-603D-4FC9-E87D0C4ACD92}"/>
              </a:ext>
            </a:extLst>
          </xdr:cNvPr>
          <xdr:cNvSpPr txBox="1"/>
        </xdr:nvSpPr>
        <xdr:spPr>
          <a:xfrm>
            <a:off x="1694872" y="883920"/>
            <a:ext cx="1315027" cy="280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QUANTITY</a:t>
            </a:r>
            <a:endParaRPr lang="en-GH" sz="1200" b="1">
              <a:solidFill>
                <a:schemeClr val="bg1"/>
              </a:solidFill>
            </a:endParaRPr>
          </a:p>
        </xdr:txBody>
      </xdr:sp>
      <xdr:sp macro="" textlink="Card!C4">
        <xdr:nvSpPr>
          <xdr:cNvPr id="9" name="TextBox 8">
            <a:extLst>
              <a:ext uri="{FF2B5EF4-FFF2-40B4-BE49-F238E27FC236}">
                <a16:creationId xmlns:a16="http://schemas.microsoft.com/office/drawing/2014/main" id="{982B57E7-4036-14CD-CF35-E7569E4B55C2}"/>
              </a:ext>
            </a:extLst>
          </xdr:cNvPr>
          <xdr:cNvSpPr txBox="1"/>
        </xdr:nvSpPr>
        <xdr:spPr>
          <a:xfrm>
            <a:off x="1851660" y="1150620"/>
            <a:ext cx="1158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E0716C-58CC-4992-AAD5-0C7F1A37D41A}" type="TxLink">
              <a:rPr lang="en-US" sz="1100" b="0" i="0" u="none" strike="noStrike">
                <a:solidFill>
                  <a:srgbClr val="000000"/>
                </a:solidFill>
                <a:latin typeface="Calibri"/>
                <a:ea typeface="Calibri"/>
                <a:cs typeface="Calibri"/>
              </a:rPr>
              <a:pPr/>
              <a:t>144,864</a:t>
            </a:fld>
            <a:endParaRPr lang="en-GH" sz="1100"/>
          </a:p>
        </xdr:txBody>
      </xdr:sp>
    </xdr:grpSp>
    <xdr:clientData/>
  </xdr:twoCellAnchor>
  <xdr:twoCellAnchor>
    <xdr:from>
      <xdr:col>9</xdr:col>
      <xdr:colOff>289560</xdr:colOff>
      <xdr:row>4</xdr:row>
      <xdr:rowOff>15240</xdr:rowOff>
    </xdr:from>
    <xdr:to>
      <xdr:col>12</xdr:col>
      <xdr:colOff>294691</xdr:colOff>
      <xdr:row>8</xdr:row>
      <xdr:rowOff>15240</xdr:rowOff>
    </xdr:to>
    <xdr:grpSp>
      <xdr:nvGrpSpPr>
        <xdr:cNvPr id="10" name="Group 9">
          <a:extLst>
            <a:ext uri="{FF2B5EF4-FFF2-40B4-BE49-F238E27FC236}">
              <a16:creationId xmlns:a16="http://schemas.microsoft.com/office/drawing/2014/main" id="{5348736C-5A60-448D-84D7-167B1975902C}"/>
            </a:ext>
          </a:extLst>
        </xdr:cNvPr>
        <xdr:cNvGrpSpPr/>
      </xdr:nvGrpSpPr>
      <xdr:grpSpPr>
        <a:xfrm>
          <a:off x="5805777" y="744110"/>
          <a:ext cx="1843871" cy="728869"/>
          <a:chOff x="1249680" y="777240"/>
          <a:chExt cx="1833789" cy="731520"/>
        </a:xfrm>
      </xdr:grpSpPr>
      <xdr:sp macro="" textlink="">
        <xdr:nvSpPr>
          <xdr:cNvPr id="11" name="Rectangle: Rounded Corners 10">
            <a:extLst>
              <a:ext uri="{FF2B5EF4-FFF2-40B4-BE49-F238E27FC236}">
                <a16:creationId xmlns:a16="http://schemas.microsoft.com/office/drawing/2014/main" id="{CCE10E6C-8DA7-9F6C-177D-42421D0E4AC9}"/>
              </a:ext>
            </a:extLst>
          </xdr:cNvPr>
          <xdr:cNvSpPr/>
        </xdr:nvSpPr>
        <xdr:spPr>
          <a:xfrm>
            <a:off x="1249680" y="777240"/>
            <a:ext cx="1813560" cy="7315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sp macro="" textlink="">
        <xdr:nvSpPr>
          <xdr:cNvPr id="12" name="TextBox 11">
            <a:extLst>
              <a:ext uri="{FF2B5EF4-FFF2-40B4-BE49-F238E27FC236}">
                <a16:creationId xmlns:a16="http://schemas.microsoft.com/office/drawing/2014/main" id="{9FF2D94D-1FFD-AD81-2698-2CBDFDD16899}"/>
              </a:ext>
            </a:extLst>
          </xdr:cNvPr>
          <xdr:cNvSpPr txBox="1"/>
        </xdr:nvSpPr>
        <xdr:spPr>
          <a:xfrm>
            <a:off x="1508641" y="819374"/>
            <a:ext cx="1574828" cy="2328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rPr>
              <a:t>TOTAL TRANSACTIONS</a:t>
            </a:r>
            <a:endParaRPr lang="en-GH" sz="1100" b="1">
              <a:solidFill>
                <a:schemeClr val="bg1"/>
              </a:solidFill>
            </a:endParaRPr>
          </a:p>
        </xdr:txBody>
      </xdr:sp>
      <xdr:sp macro="" textlink="Card!E4">
        <xdr:nvSpPr>
          <xdr:cNvPr id="13" name="TextBox 12">
            <a:extLst>
              <a:ext uri="{FF2B5EF4-FFF2-40B4-BE49-F238E27FC236}">
                <a16:creationId xmlns:a16="http://schemas.microsoft.com/office/drawing/2014/main" id="{DE2EA4B6-2BFD-87C8-46AB-0EBA97A92876}"/>
              </a:ext>
            </a:extLst>
          </xdr:cNvPr>
          <xdr:cNvSpPr txBox="1"/>
        </xdr:nvSpPr>
        <xdr:spPr>
          <a:xfrm>
            <a:off x="1851660" y="1150620"/>
            <a:ext cx="1158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EE8C29F-39DE-481E-A2DE-93648EB7D943}" type="TxLink">
              <a:rPr lang="en-US" sz="1100" b="0" i="0" u="none" strike="noStrike">
                <a:solidFill>
                  <a:srgbClr val="000000"/>
                </a:solidFill>
                <a:latin typeface="Calibri"/>
                <a:ea typeface="Calibri"/>
                <a:cs typeface="Calibri"/>
              </a:rPr>
              <a:pPr/>
              <a:t>312</a:t>
            </a:fld>
            <a:endParaRPr lang="en-GH" sz="1100"/>
          </a:p>
        </xdr:txBody>
      </xdr:sp>
    </xdr:grpSp>
    <xdr:clientData/>
  </xdr:twoCellAnchor>
  <xdr:twoCellAnchor>
    <xdr:from>
      <xdr:col>13</xdr:col>
      <xdr:colOff>30480</xdr:colOff>
      <xdr:row>3</xdr:row>
      <xdr:rowOff>175260</xdr:rowOff>
    </xdr:from>
    <xdr:to>
      <xdr:col>16</xdr:col>
      <xdr:colOff>15240</xdr:colOff>
      <xdr:row>7</xdr:row>
      <xdr:rowOff>175260</xdr:rowOff>
    </xdr:to>
    <xdr:grpSp>
      <xdr:nvGrpSpPr>
        <xdr:cNvPr id="14" name="Group 13">
          <a:extLst>
            <a:ext uri="{FF2B5EF4-FFF2-40B4-BE49-F238E27FC236}">
              <a16:creationId xmlns:a16="http://schemas.microsoft.com/office/drawing/2014/main" id="{8719D58F-75DB-4759-BD88-9C4C952E7375}"/>
            </a:ext>
          </a:extLst>
        </xdr:cNvPr>
        <xdr:cNvGrpSpPr/>
      </xdr:nvGrpSpPr>
      <xdr:grpSpPr>
        <a:xfrm>
          <a:off x="7998350" y="721912"/>
          <a:ext cx="1823499" cy="728870"/>
          <a:chOff x="1249680" y="777240"/>
          <a:chExt cx="1813560" cy="731520"/>
        </a:xfrm>
      </xdr:grpSpPr>
      <xdr:sp macro="" textlink="">
        <xdr:nvSpPr>
          <xdr:cNvPr id="15" name="Rectangle: Rounded Corners 14">
            <a:extLst>
              <a:ext uri="{FF2B5EF4-FFF2-40B4-BE49-F238E27FC236}">
                <a16:creationId xmlns:a16="http://schemas.microsoft.com/office/drawing/2014/main" id="{6C672CA0-416F-5300-A433-076B2B80D563}"/>
              </a:ext>
            </a:extLst>
          </xdr:cNvPr>
          <xdr:cNvSpPr/>
        </xdr:nvSpPr>
        <xdr:spPr>
          <a:xfrm>
            <a:off x="1249680" y="777240"/>
            <a:ext cx="1813560" cy="73152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sp macro="" textlink="">
        <xdr:nvSpPr>
          <xdr:cNvPr id="16" name="TextBox 15">
            <a:extLst>
              <a:ext uri="{FF2B5EF4-FFF2-40B4-BE49-F238E27FC236}">
                <a16:creationId xmlns:a16="http://schemas.microsoft.com/office/drawing/2014/main" id="{447ABCCB-8429-E3CA-4475-426324DE8FF4}"/>
              </a:ext>
            </a:extLst>
          </xdr:cNvPr>
          <xdr:cNvSpPr txBox="1"/>
        </xdr:nvSpPr>
        <xdr:spPr>
          <a:xfrm>
            <a:off x="1851660" y="883920"/>
            <a:ext cx="1158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PEAK</a:t>
            </a:r>
            <a:r>
              <a:rPr lang="en-US" sz="1200" b="1" baseline="0">
                <a:solidFill>
                  <a:schemeClr val="bg1"/>
                </a:solidFill>
              </a:rPr>
              <a:t> MONTH</a:t>
            </a:r>
            <a:endParaRPr lang="en-GH" sz="1200" b="1">
              <a:solidFill>
                <a:schemeClr val="bg1"/>
              </a:solidFill>
            </a:endParaRPr>
          </a:p>
        </xdr:txBody>
      </xdr:sp>
      <xdr:sp macro="" textlink="Card!G4">
        <xdr:nvSpPr>
          <xdr:cNvPr id="17" name="TextBox 16">
            <a:extLst>
              <a:ext uri="{FF2B5EF4-FFF2-40B4-BE49-F238E27FC236}">
                <a16:creationId xmlns:a16="http://schemas.microsoft.com/office/drawing/2014/main" id="{F95DCD04-DE95-49B3-6ABD-C2F427456B0B}"/>
              </a:ext>
            </a:extLst>
          </xdr:cNvPr>
          <xdr:cNvSpPr txBox="1"/>
        </xdr:nvSpPr>
        <xdr:spPr>
          <a:xfrm>
            <a:off x="1851660" y="1150620"/>
            <a:ext cx="115824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E57EA08-2E28-4647-88D7-8C10E1549733}" type="TxLink">
              <a:rPr lang="en-US" sz="1100" b="0" i="0" u="none" strike="noStrike">
                <a:solidFill>
                  <a:srgbClr val="000000"/>
                </a:solidFill>
                <a:latin typeface="Calibri"/>
                <a:ea typeface="Calibri"/>
                <a:cs typeface="Calibri"/>
              </a:rPr>
              <a:pPr/>
              <a:t>Jan</a:t>
            </a:fld>
            <a:endParaRPr lang="en-GH" sz="1100"/>
          </a:p>
        </xdr:txBody>
      </xdr:sp>
    </xdr:grpSp>
    <xdr:clientData/>
  </xdr:twoCellAnchor>
  <xdr:twoCellAnchor>
    <xdr:from>
      <xdr:col>1</xdr:col>
      <xdr:colOff>601980</xdr:colOff>
      <xdr:row>9</xdr:row>
      <xdr:rowOff>76200</xdr:rowOff>
    </xdr:from>
    <xdr:to>
      <xdr:col>9</xdr:col>
      <xdr:colOff>121920</xdr:colOff>
      <xdr:row>23</xdr:row>
      <xdr:rowOff>121920</xdr:rowOff>
    </xdr:to>
    <xdr:graphicFrame macro="">
      <xdr:nvGraphicFramePr>
        <xdr:cNvPr id="18" name="Chart 17">
          <a:extLst>
            <a:ext uri="{FF2B5EF4-FFF2-40B4-BE49-F238E27FC236}">
              <a16:creationId xmlns:a16="http://schemas.microsoft.com/office/drawing/2014/main" id="{24912E93-FD5D-48D2-9E12-01EF2A180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259080</xdr:colOff>
      <xdr:row>9</xdr:row>
      <xdr:rowOff>83820</xdr:rowOff>
    </xdr:from>
    <xdr:to>
      <xdr:col>16</xdr:col>
      <xdr:colOff>106680</xdr:colOff>
      <xdr:row>23</xdr:row>
      <xdr:rowOff>160020</xdr:rowOff>
    </xdr:to>
    <xdr:graphicFrame macro="">
      <xdr:nvGraphicFramePr>
        <xdr:cNvPr id="19" name="Chart 18">
          <a:extLst>
            <a:ext uri="{FF2B5EF4-FFF2-40B4-BE49-F238E27FC236}">
              <a16:creationId xmlns:a16="http://schemas.microsoft.com/office/drawing/2014/main" id="{FA6E53A9-2DB0-4320-AB65-B1AA9F0D1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518160</xdr:colOff>
      <xdr:row>24</xdr:row>
      <xdr:rowOff>68580</xdr:rowOff>
    </xdr:from>
    <xdr:to>
      <xdr:col>9</xdr:col>
      <xdr:colOff>53340</xdr:colOff>
      <xdr:row>39</xdr:row>
      <xdr:rowOff>0</xdr:rowOff>
    </xdr:to>
    <xdr:graphicFrame macro="">
      <xdr:nvGraphicFramePr>
        <xdr:cNvPr id="20" name="Chart 19">
          <a:extLst>
            <a:ext uri="{FF2B5EF4-FFF2-40B4-BE49-F238E27FC236}">
              <a16:creationId xmlns:a16="http://schemas.microsoft.com/office/drawing/2014/main" id="{5996E13E-F28D-44FF-A4F9-87702AEAD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289560</xdr:colOff>
      <xdr:row>24</xdr:row>
      <xdr:rowOff>137160</xdr:rowOff>
    </xdr:from>
    <xdr:to>
      <xdr:col>16</xdr:col>
      <xdr:colOff>160020</xdr:colOff>
      <xdr:row>39</xdr:row>
      <xdr:rowOff>7620</xdr:rowOff>
    </xdr:to>
    <xdr:graphicFrame macro="">
      <xdr:nvGraphicFramePr>
        <xdr:cNvPr id="21" name="Chart 20">
          <a:extLst>
            <a:ext uri="{FF2B5EF4-FFF2-40B4-BE49-F238E27FC236}">
              <a16:creationId xmlns:a16="http://schemas.microsoft.com/office/drawing/2014/main" id="{96806674-27F3-4DCC-8264-ABDE41FBD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281568</xdr:colOff>
      <xdr:row>4</xdr:row>
      <xdr:rowOff>121548</xdr:rowOff>
    </xdr:from>
    <xdr:to>
      <xdr:col>19</xdr:col>
      <xdr:colOff>270417</xdr:colOff>
      <xdr:row>17</xdr:row>
      <xdr:rowOff>172426</xdr:rowOff>
    </xdr:to>
    <mc:AlternateContent xmlns:mc="http://schemas.openxmlformats.org/markup-compatibility/2006" xmlns:a14="http://schemas.microsoft.com/office/drawing/2010/main">
      <mc:Choice Requires="a14">
        <xdr:graphicFrame macro="">
          <xdr:nvGraphicFramePr>
            <xdr:cNvPr id="22" name="Manager">
              <a:extLst>
                <a:ext uri="{FF2B5EF4-FFF2-40B4-BE49-F238E27FC236}">
                  <a16:creationId xmlns:a16="http://schemas.microsoft.com/office/drawing/2014/main" id="{AFCA79B6-ECF6-A108-9081-0BDAB42322D0}"/>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0102901" y="841215"/>
              <a:ext cx="1830349" cy="2389794"/>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290861</xdr:colOff>
      <xdr:row>19</xdr:row>
      <xdr:rowOff>72111</xdr:rowOff>
    </xdr:from>
    <xdr:to>
      <xdr:col>19</xdr:col>
      <xdr:colOff>279710</xdr:colOff>
      <xdr:row>32</xdr:row>
      <xdr:rowOff>122989</xdr:rowOff>
    </xdr:to>
    <mc:AlternateContent xmlns:mc="http://schemas.openxmlformats.org/markup-compatibility/2006" xmlns:a14="http://schemas.microsoft.com/office/drawing/2010/main">
      <mc:Choice Requires="a14">
        <xdr:graphicFrame macro="">
          <xdr:nvGraphicFramePr>
            <xdr:cNvPr id="23" name="City">
              <a:extLst>
                <a:ext uri="{FF2B5EF4-FFF2-40B4-BE49-F238E27FC236}">
                  <a16:creationId xmlns:a16="http://schemas.microsoft.com/office/drawing/2014/main" id="{49891F36-A569-FB2E-46C2-541EE6101B5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112194" y="3490528"/>
              <a:ext cx="1830349" cy="2389794"/>
            </a:xfrm>
            <a:prstGeom prst="rect">
              <a:avLst/>
            </a:prstGeom>
            <a:solidFill>
              <a:prstClr val="white"/>
            </a:solidFill>
            <a:ln w="1">
              <a:solidFill>
                <a:prstClr val="green"/>
              </a:solidFill>
            </a:ln>
          </xdr:spPr>
          <xdr:txBody>
            <a:bodyPr vertOverflow="clip" horzOverflow="clip"/>
            <a:lstStyle/>
            <a:p>
              <a:r>
                <a:rPr lang="en-G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518584</xdr:colOff>
      <xdr:row>0</xdr:row>
      <xdr:rowOff>10583</xdr:rowOff>
    </xdr:from>
    <xdr:to>
      <xdr:col>19</xdr:col>
      <xdr:colOff>412750</xdr:colOff>
      <xdr:row>3</xdr:row>
      <xdr:rowOff>148167</xdr:rowOff>
    </xdr:to>
    <xdr:sp macro="" textlink="">
      <xdr:nvSpPr>
        <xdr:cNvPr id="25" name="Rectangle 24">
          <a:extLst>
            <a:ext uri="{FF2B5EF4-FFF2-40B4-BE49-F238E27FC236}">
              <a16:creationId xmlns:a16="http://schemas.microsoft.com/office/drawing/2014/main" id="{B1D45E6D-F80B-3EA1-186A-BEF2F230A324}"/>
            </a:ext>
          </a:extLst>
        </xdr:cNvPr>
        <xdr:cNvSpPr/>
      </xdr:nvSpPr>
      <xdr:spPr>
        <a:xfrm>
          <a:off x="1132417" y="10583"/>
          <a:ext cx="10943166" cy="677334"/>
        </a:xfrm>
        <a:custGeom>
          <a:avLst/>
          <a:gdLst>
            <a:gd name="csX0" fmla="*/ 0 w 10943166"/>
            <a:gd name="csY0" fmla="*/ 0 h 677334"/>
            <a:gd name="csX1" fmla="*/ 10943166 w 10943166"/>
            <a:gd name="csY1" fmla="*/ 0 h 677334"/>
            <a:gd name="csX2" fmla="*/ 10943166 w 10943166"/>
            <a:gd name="csY2" fmla="*/ 677334 h 677334"/>
            <a:gd name="csX3" fmla="*/ 10011833 w 10943166"/>
            <a:gd name="csY3" fmla="*/ 550334 h 677334"/>
            <a:gd name="csX4" fmla="*/ 4572000 w 10943166"/>
            <a:gd name="csY4" fmla="*/ 645584 h 677334"/>
            <a:gd name="csX5" fmla="*/ 666750 w 10943166"/>
            <a:gd name="csY5" fmla="*/ 571500 h 677334"/>
            <a:gd name="csX6" fmla="*/ 0 w 10943166"/>
            <a:gd name="csY6" fmla="*/ 677334 h 677334"/>
            <a:gd name="csX7" fmla="*/ 0 w 10943166"/>
            <a:gd name="csY7" fmla="*/ 0 h 67733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10943166" h="677334">
              <a:moveTo>
                <a:pt x="0" y="0"/>
              </a:moveTo>
              <a:lnTo>
                <a:pt x="10943166" y="0"/>
              </a:lnTo>
              <a:lnTo>
                <a:pt x="10943166" y="677334"/>
              </a:lnTo>
              <a:cubicBezTo>
                <a:pt x="10682111" y="677334"/>
                <a:pt x="10272888" y="550334"/>
                <a:pt x="10011833" y="550334"/>
              </a:cubicBezTo>
              <a:cubicBezTo>
                <a:pt x="8304389" y="546806"/>
                <a:pt x="6279444" y="649112"/>
                <a:pt x="4572000" y="645584"/>
              </a:cubicBezTo>
              <a:lnTo>
                <a:pt x="666750" y="571500"/>
              </a:lnTo>
              <a:lnTo>
                <a:pt x="0" y="677334"/>
              </a:lnTo>
              <a:lnTo>
                <a:pt x="0" y="0"/>
              </a:lnTo>
              <a:close/>
            </a:path>
          </a:pathLst>
        </a:custGeom>
        <a:solidFill>
          <a:schemeClr val="accent5">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H" sz="1100"/>
        </a:p>
      </xdr:txBody>
    </xdr:sp>
    <xdr:clientData/>
  </xdr:twoCellAnchor>
  <xdr:twoCellAnchor>
    <xdr:from>
      <xdr:col>3</xdr:col>
      <xdr:colOff>596348</xdr:colOff>
      <xdr:row>0</xdr:row>
      <xdr:rowOff>77764</xdr:rowOff>
    </xdr:from>
    <xdr:to>
      <xdr:col>16</xdr:col>
      <xdr:colOff>98010</xdr:colOff>
      <xdr:row>3</xdr:row>
      <xdr:rowOff>57979</xdr:rowOff>
    </xdr:to>
    <xdr:sp macro="" textlink="">
      <xdr:nvSpPr>
        <xdr:cNvPr id="26" name="TextBox 25">
          <a:extLst>
            <a:ext uri="{FF2B5EF4-FFF2-40B4-BE49-F238E27FC236}">
              <a16:creationId xmlns:a16="http://schemas.microsoft.com/office/drawing/2014/main" id="{DC2D5A3F-54AD-40ED-354D-151A033B0000}"/>
            </a:ext>
          </a:extLst>
        </xdr:cNvPr>
        <xdr:cNvSpPr txBox="1"/>
      </xdr:nvSpPr>
      <xdr:spPr>
        <a:xfrm>
          <a:off x="2435087" y="77764"/>
          <a:ext cx="7469532" cy="5268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rPr>
            <a:t>SALES</a:t>
          </a:r>
          <a:r>
            <a:rPr lang="en-US" sz="2800" b="1" baseline="0">
              <a:solidFill>
                <a:schemeClr val="bg1"/>
              </a:solidFill>
            </a:rPr>
            <a:t> AND CUSTOMER PURCHASING ANALYSIS</a:t>
          </a:r>
          <a:endParaRPr lang="en-GH" sz="2800" b="1">
            <a:solidFill>
              <a:schemeClr val="bg1"/>
            </a:solidFill>
          </a:endParaRPr>
        </a:p>
      </xdr:txBody>
    </xdr:sp>
    <xdr:clientData/>
  </xdr:twoCellAnchor>
  <xdr:twoCellAnchor editAs="oneCell">
    <xdr:from>
      <xdr:col>2</xdr:col>
      <xdr:colOff>95250</xdr:colOff>
      <xdr:row>5</xdr:row>
      <xdr:rowOff>31749</xdr:rowOff>
    </xdr:from>
    <xdr:to>
      <xdr:col>2</xdr:col>
      <xdr:colOff>550334</xdr:colOff>
      <xdr:row>7</xdr:row>
      <xdr:rowOff>116416</xdr:rowOff>
    </xdr:to>
    <xdr:pic>
      <xdr:nvPicPr>
        <xdr:cNvPr id="29" name="Graphic 28" descr="Coins with solid fill">
          <a:extLst>
            <a:ext uri="{FF2B5EF4-FFF2-40B4-BE49-F238E27FC236}">
              <a16:creationId xmlns:a16="http://schemas.microsoft.com/office/drawing/2014/main" id="{19F79964-D7F2-1512-61EB-357ABA4D0EA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22917" y="931332"/>
          <a:ext cx="455084" cy="444501"/>
        </a:xfrm>
        <a:prstGeom prst="rect">
          <a:avLst/>
        </a:prstGeom>
      </xdr:spPr>
    </xdr:pic>
    <xdr:clientData/>
  </xdr:twoCellAnchor>
  <xdr:twoCellAnchor editAs="oneCell">
    <xdr:from>
      <xdr:col>5</xdr:col>
      <xdr:colOff>444500</xdr:colOff>
      <xdr:row>5</xdr:row>
      <xdr:rowOff>21166</xdr:rowOff>
    </xdr:from>
    <xdr:to>
      <xdr:col>6</xdr:col>
      <xdr:colOff>306917</xdr:colOff>
      <xdr:row>7</xdr:row>
      <xdr:rowOff>95249</xdr:rowOff>
    </xdr:to>
    <xdr:pic>
      <xdr:nvPicPr>
        <xdr:cNvPr id="31" name="Graphic 30" descr="Briefcase with solid fill">
          <a:extLst>
            <a:ext uri="{FF2B5EF4-FFF2-40B4-BE49-F238E27FC236}">
              <a16:creationId xmlns:a16="http://schemas.microsoft.com/office/drawing/2014/main" id="{451507F5-A9A6-BAD0-8984-056B2EC6A21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513667" y="920749"/>
          <a:ext cx="476250" cy="433917"/>
        </a:xfrm>
        <a:prstGeom prst="rect">
          <a:avLst/>
        </a:prstGeom>
      </xdr:spPr>
    </xdr:pic>
    <xdr:clientData/>
  </xdr:twoCellAnchor>
  <xdr:twoCellAnchor editAs="oneCell">
    <xdr:from>
      <xdr:col>9</xdr:col>
      <xdr:colOff>254000</xdr:colOff>
      <xdr:row>5</xdr:row>
      <xdr:rowOff>84667</xdr:rowOff>
    </xdr:from>
    <xdr:to>
      <xdr:col>10</xdr:col>
      <xdr:colOff>105833</xdr:colOff>
      <xdr:row>7</xdr:row>
      <xdr:rowOff>116417</xdr:rowOff>
    </xdr:to>
    <xdr:pic>
      <xdr:nvPicPr>
        <xdr:cNvPr id="33" name="Graphic 32" descr="Bar graph with upward trend with solid fill">
          <a:extLst>
            <a:ext uri="{FF2B5EF4-FFF2-40B4-BE49-F238E27FC236}">
              <a16:creationId xmlns:a16="http://schemas.microsoft.com/office/drawing/2014/main" id="{6F033631-CCCE-93C3-C794-49FEC195C8D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778500" y="984250"/>
          <a:ext cx="465666" cy="391584"/>
        </a:xfrm>
        <a:prstGeom prst="rect">
          <a:avLst/>
        </a:prstGeom>
      </xdr:spPr>
    </xdr:pic>
    <xdr:clientData/>
  </xdr:twoCellAnchor>
  <xdr:twoCellAnchor editAs="oneCell">
    <xdr:from>
      <xdr:col>13</xdr:col>
      <xdr:colOff>42333</xdr:colOff>
      <xdr:row>4</xdr:row>
      <xdr:rowOff>158750</xdr:rowOff>
    </xdr:from>
    <xdr:to>
      <xdr:col>14</xdr:col>
      <xdr:colOff>52916</xdr:colOff>
      <xdr:row>7</xdr:row>
      <xdr:rowOff>105833</xdr:rowOff>
    </xdr:to>
    <xdr:pic>
      <xdr:nvPicPr>
        <xdr:cNvPr id="35" name="Graphic 34" descr="Daily calendar with solid fill">
          <a:extLst>
            <a:ext uri="{FF2B5EF4-FFF2-40B4-BE49-F238E27FC236}">
              <a16:creationId xmlns:a16="http://schemas.microsoft.com/office/drawing/2014/main" id="{3BB74A5C-ED64-205D-9132-58804FF5CCA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022166" y="878417"/>
          <a:ext cx="624417" cy="48683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CKSON ANTIRI" refreshedDate="46283.592400347225" createdVersion="8" refreshedVersion="8" minRefreshableVersion="3" recordCount="312" xr:uid="{8D603BB8-B33C-41D1-81AF-7BA8ECB8112C}">
  <cacheSource type="worksheet">
    <worksheetSource name="Table1"/>
  </cacheSource>
  <cacheFields count="12">
    <cacheField name="Order ID" numFmtId="0">
      <sharedItems containsSemiMixedTypes="0" containsString="0" containsNumber="1" containsInteger="1" minValue="10452" maxValue="10751"/>
    </cacheField>
    <cacheField name="Date" numFmtId="164">
      <sharedItems containsSemiMixedTypes="0" containsNonDate="0" containsDate="1" containsString="0" minDate="2026-01-02T00:00:00" maxDate="2026-06-01T00:00:00" count="312">
        <d v="2026-01-02T00:00:00"/>
        <d v="2026-01-02T11:29:54"/>
        <d v="2026-01-02T22:59:48"/>
        <d v="2026-01-03T10:29:43"/>
        <d v="2026-01-03T21:59:37"/>
        <d v="2026-01-04T09:29:31"/>
        <d v="2026-01-04T20:59:25"/>
        <d v="2026-01-05T08:29:19"/>
        <d v="2026-01-05T19:59:14"/>
        <d v="2026-01-06T07:29:08"/>
        <d v="2026-01-06T18:59:02"/>
        <d v="2026-01-07T06:28:56"/>
        <d v="2026-01-07T17:58:51"/>
        <d v="2026-01-08T05:28:45"/>
        <d v="2026-01-08T16:58:39"/>
        <d v="2026-01-09T04:28:33"/>
        <d v="2026-01-09T15:58:27"/>
        <d v="2026-01-10T03:28:22"/>
        <d v="2026-01-10T14:58:16"/>
        <d v="2026-01-11T02:28:10"/>
        <d v="2026-01-11T13:58:04"/>
        <d v="2026-01-12T01:27:58"/>
        <d v="2026-01-12T12:57:53"/>
        <d v="2026-01-13T00:27:47"/>
        <d v="2026-01-13T11:57:41"/>
        <d v="2026-01-13T23:27:35"/>
        <d v="2026-01-14T10:57:30"/>
        <d v="2026-01-14T22:27:24"/>
        <d v="2026-01-15T09:57:18"/>
        <d v="2026-01-15T21:27:12"/>
        <d v="2026-01-16T08:57:06"/>
        <d v="2026-01-16T20:27:01"/>
        <d v="2026-01-17T07:56:55"/>
        <d v="2026-01-17T19:26:49"/>
        <d v="2026-01-18T06:56:43"/>
        <d v="2026-01-18T18:26:37"/>
        <d v="2026-01-19T05:56:32"/>
        <d v="2026-01-19T17:26:26"/>
        <d v="2026-01-20T04:56:20"/>
        <d v="2026-01-20T16:26:14"/>
        <d v="2026-01-21T03:56:08"/>
        <d v="2026-01-21T15:26:03"/>
        <d v="2026-01-22T02:55:57"/>
        <d v="2026-01-22T14:25:51"/>
        <d v="2026-01-23T01:55:45"/>
        <d v="2026-01-23T13:25:40"/>
        <d v="2026-01-24T00:55:34"/>
        <d v="2026-01-24T12:25:28"/>
        <d v="2026-01-24T23:55:22"/>
        <d v="2026-01-25T11:25:16"/>
        <d v="2026-01-25T22:55:11"/>
        <d v="2026-01-26T10:25:05"/>
        <d v="2026-01-26T21:54:59"/>
        <d v="2026-01-27T09:24:53"/>
        <d v="2026-01-27T20:54:47"/>
        <d v="2026-01-28T08:24:42"/>
        <d v="2026-01-28T19:54:36"/>
        <d v="2026-01-29T07:24:30"/>
        <d v="2026-01-29T18:54:24"/>
        <d v="2026-01-30T06:24:19"/>
        <d v="2026-01-30T17:54:13"/>
        <d v="2026-01-31T05:24:07"/>
        <d v="2026-01-31T16:54:01"/>
        <d v="2026-02-01T04:23:55"/>
        <d v="2026-02-01T15:53:50"/>
        <d v="2026-02-02T03:23:44"/>
        <d v="2026-02-02T14:53:38"/>
        <d v="2026-02-03T02:23:32"/>
        <d v="2026-02-03T13:53:26"/>
        <d v="2026-02-04T01:23:21"/>
        <d v="2026-02-04T12:53:15"/>
        <d v="2026-02-05T00:23:09"/>
        <d v="2026-02-05T11:53:03"/>
        <d v="2026-02-05T23:22:57"/>
        <d v="2026-02-06T10:52:52"/>
        <d v="2026-02-06T22:22:46"/>
        <d v="2026-02-07T09:52:40"/>
        <d v="2026-02-07T21:22:34"/>
        <d v="2026-02-08T08:52:29"/>
        <d v="2026-02-08T20:22:23"/>
        <d v="2026-02-09T07:52:17"/>
        <d v="2026-02-09T19:22:11"/>
        <d v="2026-02-10T06:52:05"/>
        <d v="2026-02-10T18:22:00"/>
        <d v="2026-02-11T05:51:54"/>
        <d v="2026-02-11T17:21:48"/>
        <d v="2026-02-12T04:51:42"/>
        <d v="2026-02-12T16:21:36"/>
        <d v="2026-02-13T03:51:31"/>
        <d v="2026-02-13T15:21:25"/>
        <d v="2026-02-14T02:51:19"/>
        <d v="2026-02-14T14:21:13"/>
        <d v="2026-02-15T01:51:08"/>
        <d v="2026-02-15T13:21:02"/>
        <d v="2026-02-16T00:50:56"/>
        <d v="2026-02-16T12:20:50"/>
        <d v="2026-02-16T23:50:44"/>
        <d v="2026-02-17T11:20:39"/>
        <d v="2026-02-17T22:50:33"/>
        <d v="2026-02-18T10:20:27"/>
        <d v="2026-02-18T21:50:21"/>
        <d v="2026-02-19T09:20:15"/>
        <d v="2026-02-19T20:50:10"/>
        <d v="2026-02-20T08:20:04"/>
        <d v="2026-02-20T19:49:58"/>
        <d v="2026-02-21T07:19:52"/>
        <d v="2026-02-21T18:49:46"/>
        <d v="2026-02-22T06:19:41"/>
        <d v="2026-02-22T17:49:35"/>
        <d v="2026-02-23T05:19:29"/>
        <d v="2026-02-23T16:49:23"/>
        <d v="2026-02-24T04:19:18"/>
        <d v="2026-02-24T15:49:12"/>
        <d v="2026-02-25T03:19:06"/>
        <d v="2026-02-25T14:49:00"/>
        <d v="2026-02-26T02:18:54"/>
        <d v="2026-02-26T13:48:49"/>
        <d v="2026-02-27T01:18:43"/>
        <d v="2026-02-27T12:48:37"/>
        <d v="2026-02-28T00:18:31"/>
        <d v="2026-02-28T11:48:25"/>
        <d v="2026-02-28T23:18:20"/>
        <d v="2026-03-01T10:48:14"/>
        <d v="2026-03-01T22:18:08"/>
        <d v="2026-03-02T09:48:02"/>
        <d v="2026-03-02T21:17:57"/>
        <d v="2026-03-03T08:47:51"/>
        <d v="2026-03-03T20:17:45"/>
        <d v="2026-03-04T07:47:39"/>
        <d v="2026-03-04T19:17:33"/>
        <d v="2026-03-05T06:47:28"/>
        <d v="2026-03-05T18:17:22"/>
        <d v="2026-03-06T05:47:16"/>
        <d v="2026-03-06T17:17:10"/>
        <d v="2026-03-07T04:47:04"/>
        <d v="2026-03-07T16:16:59"/>
        <d v="2026-03-08T03:46:53"/>
        <d v="2026-03-08T15:16:47"/>
        <d v="2026-03-09T02:46:41"/>
        <d v="2026-03-09T14:16:35"/>
        <d v="2026-03-10T01:46:30"/>
        <d v="2026-03-10T13:16:24"/>
        <d v="2026-03-11T00:46:18"/>
        <d v="2026-03-11T12:16:12"/>
        <d v="2026-03-11T23:46:07"/>
        <d v="2026-03-12T11:16:01"/>
        <d v="2026-03-12T22:45:55"/>
        <d v="2026-03-13T10:15:49"/>
        <d v="2026-03-13T21:45:43"/>
        <d v="2026-03-14T09:15:38"/>
        <d v="2026-03-14T20:45:32"/>
        <d v="2026-03-15T08:15:26"/>
        <d v="2026-03-15T19:45:20"/>
        <d v="2026-03-16T07:15:14"/>
        <d v="2026-03-16T18:45:09"/>
        <d v="2026-03-17T06:15:03"/>
        <d v="2026-03-17T17:44:57"/>
        <d v="2026-03-18T05:14:51"/>
        <d v="2026-03-18T16:44:46"/>
        <d v="2026-03-19T04:14:40"/>
        <d v="2026-03-19T15:44:34"/>
        <d v="2026-03-20T03:14:28"/>
        <d v="2026-03-20T14:44:22"/>
        <d v="2026-03-21T02:14:17"/>
        <d v="2026-03-21T13:44:11"/>
        <d v="2026-03-22T01:14:05"/>
        <d v="2026-03-22T12:43:59"/>
        <d v="2026-03-23T00:13:53"/>
        <d v="2026-03-23T11:43:48"/>
        <d v="2026-03-23T23:13:42"/>
        <d v="2026-03-24T10:43:36"/>
        <d v="2026-03-24T22:13:30"/>
        <d v="2026-03-25T09:43:25"/>
        <d v="2026-03-25T21:13:19"/>
        <d v="2026-03-26T08:43:13"/>
        <d v="2026-03-26T20:13:07"/>
        <d v="2026-03-27T07:43:01"/>
        <d v="2026-03-27T19:12:56"/>
        <d v="2026-03-28T06:42:50"/>
        <d v="2026-03-28T18:12:44"/>
        <d v="2026-03-29T05:42:38"/>
        <d v="2026-03-29T17:12:32"/>
        <d v="2026-03-30T04:42:27"/>
        <d v="2026-03-30T16:12:21"/>
        <d v="2026-03-31T03:42:15"/>
        <d v="2026-03-31T15:12:09"/>
        <d v="2026-04-01T02:42:03"/>
        <d v="2026-04-01T14:11:58"/>
        <d v="2026-04-02T01:41:52"/>
        <d v="2026-04-02T13:11:46"/>
        <d v="2026-04-03T00:41:40"/>
        <d v="2026-04-03T12:11:35"/>
        <d v="2026-04-03T23:41:29"/>
        <d v="2026-04-04T11:11:23"/>
        <d v="2026-04-04T22:41:17"/>
        <d v="2026-04-05T10:11:11"/>
        <d v="2026-04-05T21:41:06"/>
        <d v="2026-04-06T09:11:00"/>
        <d v="2026-04-06T20:40:54"/>
        <d v="2026-04-07T08:10:48"/>
        <d v="2026-04-07T19:40:42"/>
        <d v="2026-04-08T07:10:37"/>
        <d v="2026-04-08T18:40:31"/>
        <d v="2026-04-09T06:10:25"/>
        <d v="2026-04-09T17:40:19"/>
        <d v="2026-04-10T05:10:14"/>
        <d v="2026-04-10T16:40:08"/>
        <d v="2026-04-11T04:10:02"/>
        <d v="2026-04-11T15:39:56"/>
        <d v="2026-04-12T03:09:50"/>
        <d v="2026-04-12T14:39:45"/>
        <d v="2026-04-13T02:09:39"/>
        <d v="2026-04-13T13:39:33"/>
        <d v="2026-04-14T01:09:27"/>
        <d v="2026-04-14T12:39:21"/>
        <d v="2026-04-15T00:09:16"/>
        <d v="2026-04-15T11:39:10"/>
        <d v="2026-04-15T23:09:04"/>
        <d v="2026-04-16T10:38:58"/>
        <d v="2026-04-16T22:08:52"/>
        <d v="2026-04-17T09:38:47"/>
        <d v="2026-04-17T21:08:41"/>
        <d v="2026-04-18T08:38:35"/>
        <d v="2026-04-18T20:08:29"/>
        <d v="2026-04-19T07:38:24"/>
        <d v="2026-04-19T19:08:18"/>
        <d v="2026-04-20T06:38:12"/>
        <d v="2026-04-20T18:08:06"/>
        <d v="2026-04-21T05:38:00"/>
        <d v="2026-04-21T17:07:55"/>
        <d v="2026-04-22T04:37:49"/>
        <d v="2026-04-22T16:07:43"/>
        <d v="2026-04-23T03:37:37"/>
        <d v="2026-04-23T15:07:31"/>
        <d v="2026-04-24T02:37:26"/>
        <d v="2026-04-24T14:07:20"/>
        <d v="2026-04-25T01:37:14"/>
        <d v="2026-04-25T13:07:08"/>
        <d v="2026-04-26T00:37:03"/>
        <d v="2026-04-26T12:06:57"/>
        <d v="2026-04-26T23:36:51"/>
        <d v="2026-04-27T11:06:45"/>
        <d v="2026-04-27T22:36:39"/>
        <d v="2026-04-28T10:06:34"/>
        <d v="2026-04-28T21:36:28"/>
        <d v="2026-04-29T09:06:22"/>
        <d v="2026-04-29T20:36:16"/>
        <d v="2026-04-30T08:06:10"/>
        <d v="2026-04-30T19:36:05"/>
        <d v="2026-05-01T07:05:59"/>
        <d v="2026-05-01T18:35:53"/>
        <d v="2026-05-02T06:05:47"/>
        <d v="2026-05-02T17:35:41"/>
        <d v="2026-05-03T05:05:36"/>
        <d v="2026-05-03T16:35:30"/>
        <d v="2026-05-04T04:05:24"/>
        <d v="2026-05-04T15:35:18"/>
        <d v="2026-05-05T03:05:13"/>
        <d v="2026-05-05T14:35:07"/>
        <d v="2026-05-06T02:05:01"/>
        <d v="2026-05-06T13:34:55"/>
        <d v="2026-05-07T01:04:49"/>
        <d v="2026-05-07T12:34:44"/>
        <d v="2026-05-08T00:04:38"/>
        <d v="2026-05-08T11:34:32"/>
        <d v="2026-05-08T23:04:26"/>
        <d v="2026-05-09T10:34:20"/>
        <d v="2026-05-09T22:04:15"/>
        <d v="2026-05-10T09:34:09"/>
        <d v="2026-05-10T21:04:03"/>
        <d v="2026-05-11T08:33:57"/>
        <d v="2026-05-11T20:03:52"/>
        <d v="2026-05-12T07:33:46"/>
        <d v="2026-05-12T19:03:40"/>
        <d v="2026-05-13T06:33:34"/>
        <d v="2026-05-13T18:03:28"/>
        <d v="2026-05-14T05:33:23"/>
        <d v="2026-05-14T17:03:17"/>
        <d v="2026-05-15T04:33:11"/>
        <d v="2026-05-15T16:03:05"/>
        <d v="2026-05-16T03:32:59"/>
        <d v="2026-05-16T15:02:54"/>
        <d v="2026-05-17T02:32:48"/>
        <d v="2026-05-17T14:02:42"/>
        <d v="2026-05-18T01:32:36"/>
        <d v="2026-05-18T13:02:30"/>
        <d v="2026-05-19T00:32:25"/>
        <d v="2026-05-19T12:02:19"/>
        <d v="2026-05-19T23:32:13"/>
        <d v="2026-05-20T11:02:07"/>
        <d v="2026-05-20T22:32:02"/>
        <d v="2026-05-21T10:01:56"/>
        <d v="2026-05-21T21:31:50"/>
        <d v="2026-05-22T09:01:44"/>
        <d v="2026-05-22T20:31:38"/>
        <d v="2026-05-23T08:01:33"/>
        <d v="2026-05-23T19:31:27"/>
        <d v="2026-05-24T07:01:21"/>
        <d v="2026-05-24T18:31:15"/>
        <d v="2026-05-25T06:01:09"/>
        <d v="2026-05-25T17:31:04"/>
        <d v="2026-05-26T05:00:58"/>
        <d v="2026-05-26T16:30:52"/>
        <d v="2026-05-27T04:00:46"/>
        <d v="2026-05-27T15:30:41"/>
        <d v="2026-05-28T03:00:35"/>
        <d v="2026-05-28T14:30:29"/>
        <d v="2026-05-29T02:00:23"/>
        <d v="2026-05-29T13:30:17"/>
        <d v="2026-05-30T01:00:12"/>
        <d v="2026-05-30T12:30:06"/>
        <d v="2026-05-31T00:00:00"/>
      </sharedItems>
      <fieldGroup par="11"/>
    </cacheField>
    <cacheField name="Product" numFmtId="0">
      <sharedItems count="5">
        <s v="Fries"/>
        <s v="Beverages"/>
        <s v="Sides &amp; Other"/>
        <s v="Burgers"/>
        <s v="Chicken Sandwiches"/>
      </sharedItems>
    </cacheField>
    <cacheField name="Price" numFmtId="0">
      <sharedItems containsSemiMixedTypes="0" containsString="0" containsNumber="1" minValue="2.83" maxValue="33.22"/>
    </cacheField>
    <cacheField name="Purchase Type" numFmtId="0">
      <sharedItems/>
    </cacheField>
    <cacheField name="Payment Method" numFmtId="0">
      <sharedItems count="3">
        <s v=" Gift Card"/>
        <s v=" Credit Card"/>
        <s v=" Cash"/>
      </sharedItems>
    </cacheField>
    <cacheField name="City" numFmtId="0">
      <sharedItems count="5">
        <s v="London"/>
        <s v="Madrid"/>
        <s v="Lisbon"/>
        <s v="Berlin"/>
        <s v="Paris"/>
      </sharedItems>
    </cacheField>
    <cacheField name="Manager" numFmtId="0">
      <sharedItems count="5">
        <s v="Tom Jackson"/>
        <s v="Pablo Perez"/>
        <s v="Joao Silva"/>
        <s v="Walter Muller"/>
        <s v="Remy Monet"/>
      </sharedItems>
    </cacheField>
    <cacheField name="Quantity" numFmtId="0">
      <sharedItems containsSemiMixedTypes="0" containsString="0" containsNumber="1" containsInteger="1" minValue="201" maxValue="755"/>
    </cacheField>
    <cacheField name="Revenue" numFmtId="0">
      <sharedItems containsSemiMixedTypes="0" containsString="0" containsNumber="1" minValue="938.67" maxValue="22523.16"/>
    </cacheField>
    <cacheField name="Days (Date)" numFmtId="0" databaseField="0">
      <fieldGroup base="1">
        <rangePr groupBy="days" startDate="2026-01-02T00:00:00" endDate="2026-06-01T00:00:00"/>
        <groupItems count="368">
          <s v="&lt;02/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6/2026"/>
        </groupItems>
      </fieldGroup>
    </cacheField>
    <cacheField name="Months (Date)" numFmtId="0" databaseField="0">
      <fieldGroup base="1">
        <rangePr groupBy="months" startDate="2026-01-02T00:00:00" endDate="2026-06-01T00:00:00"/>
        <groupItems count="14">
          <s v="&lt;02/01/2026"/>
          <s v="Jan"/>
          <s v="Feb"/>
          <s v="Mar"/>
          <s v="Apr"/>
          <s v="May"/>
          <s v="Jun"/>
          <s v="Jul"/>
          <s v="Aug"/>
          <s v="Sept"/>
          <s v="Oct"/>
          <s v="Nov"/>
          <s v="Dec"/>
          <s v="&gt;01/06/2026"/>
        </groupItems>
      </fieldGroup>
    </cacheField>
  </cacheFields>
  <extLst>
    <ext xmlns:x14="http://schemas.microsoft.com/office/spreadsheetml/2009/9/main" uri="{725AE2AE-9491-48be-B2B4-4EB974FC3084}">
      <x14:pivotCacheDefinition pivotCacheId="669608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
  <r>
    <n v="10452"/>
    <x v="0"/>
    <x v="0"/>
    <n v="3.49"/>
    <s v="Online "/>
    <x v="0"/>
    <x v="0"/>
    <x v="0"/>
    <n v="574"/>
    <n v="2003.2600000000002"/>
  </r>
  <r>
    <n v="10453"/>
    <x v="1"/>
    <x v="1"/>
    <n v="2.95"/>
    <s v="Online "/>
    <x v="0"/>
    <x v="1"/>
    <x v="1"/>
    <n v="747"/>
    <n v="2203.65"/>
  </r>
  <r>
    <n v="10454"/>
    <x v="2"/>
    <x v="2"/>
    <n v="4.99"/>
    <s v="In-store "/>
    <x v="0"/>
    <x v="2"/>
    <x v="2"/>
    <n v="201"/>
    <n v="1002.99"/>
  </r>
  <r>
    <n v="10455"/>
    <x v="3"/>
    <x v="3"/>
    <n v="12.99"/>
    <s v="In-store "/>
    <x v="1"/>
    <x v="3"/>
    <x v="3"/>
    <n v="571"/>
    <n v="7417.29"/>
  </r>
  <r>
    <n v="10456"/>
    <x v="4"/>
    <x v="4"/>
    <n v="9.9499999999999993"/>
    <s v="In-store "/>
    <x v="1"/>
    <x v="3"/>
    <x v="3"/>
    <n v="202"/>
    <n v="2009.8999999999999"/>
  </r>
  <r>
    <n v="10457"/>
    <x v="5"/>
    <x v="0"/>
    <n v="3.49"/>
    <s v="In-store "/>
    <x v="1"/>
    <x v="4"/>
    <x v="4"/>
    <n v="574"/>
    <n v="2003.2600000000002"/>
  </r>
  <r>
    <n v="10457"/>
    <x v="6"/>
    <x v="0"/>
    <n v="3.49"/>
    <s v="In-store "/>
    <x v="1"/>
    <x v="4"/>
    <x v="4"/>
    <n v="574"/>
    <n v="2003.2600000000002"/>
  </r>
  <r>
    <n v="10459"/>
    <x v="7"/>
    <x v="2"/>
    <n v="4.99"/>
    <s v="In-store "/>
    <x v="1"/>
    <x v="3"/>
    <x v="3"/>
    <n v="202"/>
    <n v="1007.98"/>
  </r>
  <r>
    <n v="10460"/>
    <x v="8"/>
    <x v="3"/>
    <n v="12.99"/>
    <s v="In-store "/>
    <x v="1"/>
    <x v="4"/>
    <x v="4"/>
    <n v="555"/>
    <n v="7209.45"/>
  </r>
  <r>
    <n v="10461"/>
    <x v="9"/>
    <x v="4"/>
    <n v="9.9499999999999993"/>
    <s v="In-store "/>
    <x v="1"/>
    <x v="4"/>
    <x v="4"/>
    <n v="202"/>
    <n v="2009.8999999999999"/>
  </r>
  <r>
    <n v="10462"/>
    <x v="10"/>
    <x v="0"/>
    <n v="3.49"/>
    <s v="In-store "/>
    <x v="1"/>
    <x v="4"/>
    <x v="4"/>
    <n v="574"/>
    <n v="2003.2600000000002"/>
  </r>
  <r>
    <n v="10463"/>
    <x v="11"/>
    <x v="1"/>
    <n v="2.95"/>
    <s v="In-store "/>
    <x v="1"/>
    <x v="4"/>
    <x v="4"/>
    <n v="679"/>
    <n v="2003.0500000000002"/>
  </r>
  <r>
    <n v="10464"/>
    <x v="12"/>
    <x v="2"/>
    <n v="4.99"/>
    <s v="In-store "/>
    <x v="1"/>
    <x v="4"/>
    <x v="4"/>
    <n v="201"/>
    <n v="1002.99"/>
  </r>
  <r>
    <n v="10465"/>
    <x v="13"/>
    <x v="3"/>
    <n v="12.99"/>
    <s v="In-store "/>
    <x v="1"/>
    <x v="1"/>
    <x v="1"/>
    <n v="555"/>
    <n v="7209.45"/>
  </r>
  <r>
    <n v="10466"/>
    <x v="14"/>
    <x v="4"/>
    <n v="9.9499999999999993"/>
    <s v="In-store "/>
    <x v="1"/>
    <x v="1"/>
    <x v="1"/>
    <n v="202"/>
    <n v="2009.8999999999999"/>
  </r>
  <r>
    <n v="10467"/>
    <x v="15"/>
    <x v="0"/>
    <n v="3.49"/>
    <s v="In-store "/>
    <x v="1"/>
    <x v="1"/>
    <x v="1"/>
    <n v="574"/>
    <n v="2003.2600000000002"/>
  </r>
  <r>
    <n v="10468"/>
    <x v="16"/>
    <x v="1"/>
    <n v="2.95"/>
    <s v="In-store "/>
    <x v="1"/>
    <x v="1"/>
    <x v="1"/>
    <n v="679"/>
    <n v="2003.0500000000002"/>
  </r>
  <r>
    <n v="10468"/>
    <x v="17"/>
    <x v="1"/>
    <n v="2.95"/>
    <s v="In-store "/>
    <x v="1"/>
    <x v="1"/>
    <x v="1"/>
    <n v="679"/>
    <n v="2003.0500000000002"/>
  </r>
  <r>
    <n v="10470"/>
    <x v="18"/>
    <x v="3"/>
    <n v="12.99"/>
    <s v="In-store "/>
    <x v="1"/>
    <x v="1"/>
    <x v="1"/>
    <n v="555"/>
    <n v="7209.45"/>
  </r>
  <r>
    <n v="10471"/>
    <x v="19"/>
    <x v="4"/>
    <n v="9.9499999999999993"/>
    <s v="In-store "/>
    <x v="1"/>
    <x v="1"/>
    <x v="1"/>
    <n v="202"/>
    <n v="2009.8999999999999"/>
  </r>
  <r>
    <n v="10472"/>
    <x v="20"/>
    <x v="0"/>
    <n v="3.49"/>
    <s v="In-store "/>
    <x v="1"/>
    <x v="1"/>
    <x v="1"/>
    <n v="631"/>
    <n v="2202.19"/>
  </r>
  <r>
    <n v="10473"/>
    <x v="21"/>
    <x v="1"/>
    <n v="2.95"/>
    <s v="In-store "/>
    <x v="1"/>
    <x v="1"/>
    <x v="1"/>
    <n v="679"/>
    <n v="2003.0500000000002"/>
  </r>
  <r>
    <n v="10474"/>
    <x v="22"/>
    <x v="2"/>
    <n v="4.99"/>
    <s v="In-store "/>
    <x v="1"/>
    <x v="1"/>
    <x v="1"/>
    <n v="201"/>
    <n v="1002.99"/>
  </r>
  <r>
    <n v="10475"/>
    <x v="23"/>
    <x v="3"/>
    <n v="12.99"/>
    <s v="In-store "/>
    <x v="1"/>
    <x v="1"/>
    <x v="1"/>
    <n v="524"/>
    <n v="6806.76"/>
  </r>
  <r>
    <n v="10476"/>
    <x v="24"/>
    <x v="4"/>
    <n v="9.9499999999999993"/>
    <s v="In-store "/>
    <x v="1"/>
    <x v="1"/>
    <x v="1"/>
    <n v="202"/>
    <n v="2009.8999999999999"/>
  </r>
  <r>
    <n v="10477"/>
    <x v="25"/>
    <x v="0"/>
    <n v="3.49"/>
    <s v="In-store "/>
    <x v="1"/>
    <x v="1"/>
    <x v="1"/>
    <n v="631"/>
    <n v="2202.19"/>
  </r>
  <r>
    <n v="10478"/>
    <x v="26"/>
    <x v="1"/>
    <n v="2.95"/>
    <s v="In-store "/>
    <x v="1"/>
    <x v="1"/>
    <x v="1"/>
    <n v="679"/>
    <n v="2003.0500000000002"/>
  </r>
  <r>
    <n v="10479"/>
    <x v="27"/>
    <x v="2"/>
    <n v="4.99"/>
    <s v="In-store "/>
    <x v="1"/>
    <x v="1"/>
    <x v="1"/>
    <n v="201"/>
    <n v="1002.99"/>
  </r>
  <r>
    <n v="10480"/>
    <x v="28"/>
    <x v="3"/>
    <n v="12.99"/>
    <s v="In-store "/>
    <x v="1"/>
    <x v="1"/>
    <x v="1"/>
    <n v="509"/>
    <n v="6611.91"/>
  </r>
  <r>
    <n v="10481"/>
    <x v="29"/>
    <x v="4"/>
    <n v="9.9499999999999993"/>
    <s v="In-store "/>
    <x v="1"/>
    <x v="1"/>
    <x v="1"/>
    <n v="202"/>
    <n v="2009.8999999999999"/>
  </r>
  <r>
    <n v="10482"/>
    <x v="30"/>
    <x v="0"/>
    <n v="25.5"/>
    <s v="In-store "/>
    <x v="1"/>
    <x v="2"/>
    <x v="2"/>
    <n v="631"/>
    <n v="16090.5"/>
  </r>
  <r>
    <n v="10483"/>
    <x v="31"/>
    <x v="1"/>
    <n v="33.22"/>
    <s v="In-store "/>
    <x v="1"/>
    <x v="2"/>
    <x v="2"/>
    <n v="678"/>
    <n v="22523.16"/>
  </r>
  <r>
    <n v="10484"/>
    <x v="32"/>
    <x v="2"/>
    <n v="21.44"/>
    <s v="In-store "/>
    <x v="1"/>
    <x v="2"/>
    <x v="2"/>
    <n v="201"/>
    <n v="4309.4400000000005"/>
  </r>
  <r>
    <n v="10485"/>
    <x v="33"/>
    <x v="3"/>
    <n v="27.99"/>
    <s v="In-store "/>
    <x v="1"/>
    <x v="2"/>
    <x v="2"/>
    <n v="524"/>
    <n v="14666.759999999998"/>
  </r>
  <r>
    <n v="10486"/>
    <x v="34"/>
    <x v="4"/>
    <n v="29.05"/>
    <s v="In-store "/>
    <x v="1"/>
    <x v="2"/>
    <x v="2"/>
    <n v="202"/>
    <n v="5868.1"/>
  </r>
  <r>
    <n v="10487"/>
    <x v="35"/>
    <x v="0"/>
    <n v="3.49"/>
    <s v="In-store "/>
    <x v="1"/>
    <x v="2"/>
    <x v="2"/>
    <n v="632"/>
    <n v="2205.6800000000003"/>
  </r>
  <r>
    <n v="10488"/>
    <x v="36"/>
    <x v="1"/>
    <n v="2.95"/>
    <s v="In-store "/>
    <x v="1"/>
    <x v="2"/>
    <x v="2"/>
    <n v="679"/>
    <n v="2003.0500000000002"/>
  </r>
  <r>
    <n v="10489"/>
    <x v="37"/>
    <x v="2"/>
    <n v="4.99"/>
    <s v="In-store "/>
    <x v="1"/>
    <x v="1"/>
    <x v="1"/>
    <n v="201"/>
    <n v="1002.99"/>
  </r>
  <r>
    <n v="10490"/>
    <x v="38"/>
    <x v="3"/>
    <n v="12.99"/>
    <s v="In-store "/>
    <x v="1"/>
    <x v="1"/>
    <x v="1"/>
    <n v="509"/>
    <n v="6611.91"/>
  </r>
  <r>
    <n v="10491"/>
    <x v="39"/>
    <x v="4"/>
    <n v="9.9499999999999993"/>
    <s v="In-store "/>
    <x v="1"/>
    <x v="1"/>
    <x v="1"/>
    <n v="202"/>
    <n v="2009.8999999999999"/>
  </r>
  <r>
    <n v="10492"/>
    <x v="40"/>
    <x v="0"/>
    <n v="3.49"/>
    <s v="In-store "/>
    <x v="1"/>
    <x v="1"/>
    <x v="1"/>
    <n v="574"/>
    <n v="2003.2600000000002"/>
  </r>
  <r>
    <n v="10493"/>
    <x v="41"/>
    <x v="1"/>
    <n v="2.95"/>
    <s v="In-store "/>
    <x v="1"/>
    <x v="1"/>
    <x v="1"/>
    <n v="679"/>
    <n v="2003.0500000000002"/>
  </r>
  <r>
    <n v="10494"/>
    <x v="42"/>
    <x v="2"/>
    <n v="4.99"/>
    <s v="In-store "/>
    <x v="1"/>
    <x v="1"/>
    <x v="1"/>
    <n v="202"/>
    <n v="1007.98"/>
  </r>
  <r>
    <n v="10495"/>
    <x v="43"/>
    <x v="3"/>
    <n v="12.99"/>
    <s v="In-store "/>
    <x v="1"/>
    <x v="1"/>
    <x v="1"/>
    <n v="509"/>
    <n v="6611.91"/>
  </r>
  <r>
    <n v="10496"/>
    <x v="44"/>
    <x v="4"/>
    <n v="9.9499999999999993"/>
    <s v="In-store "/>
    <x v="1"/>
    <x v="1"/>
    <x v="1"/>
    <n v="202"/>
    <n v="2009.8999999999999"/>
  </r>
  <r>
    <n v="10497"/>
    <x v="45"/>
    <x v="0"/>
    <n v="3.49"/>
    <s v="In-store "/>
    <x v="1"/>
    <x v="1"/>
    <x v="1"/>
    <n v="574"/>
    <n v="2003.2600000000002"/>
  </r>
  <r>
    <n v="10498"/>
    <x v="46"/>
    <x v="1"/>
    <n v="2.95"/>
    <s v="Drive-thru "/>
    <x v="1"/>
    <x v="1"/>
    <x v="1"/>
    <n v="679"/>
    <n v="2003.0500000000002"/>
  </r>
  <r>
    <n v="10499"/>
    <x v="47"/>
    <x v="2"/>
    <n v="4.99"/>
    <s v="Drive-thru "/>
    <x v="1"/>
    <x v="1"/>
    <x v="1"/>
    <n v="201"/>
    <n v="1002.99"/>
  </r>
  <r>
    <n v="10500"/>
    <x v="48"/>
    <x v="3"/>
    <n v="12.99"/>
    <s v="Drive-thru "/>
    <x v="1"/>
    <x v="1"/>
    <x v="1"/>
    <n v="524"/>
    <n v="6806.76"/>
  </r>
  <r>
    <n v="10501"/>
    <x v="49"/>
    <x v="4"/>
    <n v="9.9499999999999993"/>
    <s v="Drive-thru "/>
    <x v="1"/>
    <x v="1"/>
    <x v="1"/>
    <n v="202"/>
    <n v="2009.8999999999999"/>
  </r>
  <r>
    <n v="10502"/>
    <x v="50"/>
    <x v="0"/>
    <n v="3.49"/>
    <s v="Drive-thru "/>
    <x v="1"/>
    <x v="1"/>
    <x v="1"/>
    <n v="631"/>
    <n v="2202.19"/>
  </r>
  <r>
    <n v="10503"/>
    <x v="51"/>
    <x v="1"/>
    <n v="2.95"/>
    <s v="Drive-thru "/>
    <x v="1"/>
    <x v="1"/>
    <x v="1"/>
    <n v="679"/>
    <n v="2003.0500000000002"/>
  </r>
  <r>
    <n v="10504"/>
    <x v="52"/>
    <x v="2"/>
    <n v="4.99"/>
    <s v="Drive-thru "/>
    <x v="1"/>
    <x v="1"/>
    <x v="1"/>
    <n v="202"/>
    <n v="1007.98"/>
  </r>
  <r>
    <n v="10505"/>
    <x v="53"/>
    <x v="3"/>
    <n v="12.99"/>
    <s v="Drive-thru "/>
    <x v="1"/>
    <x v="1"/>
    <x v="1"/>
    <n v="540"/>
    <n v="7014.6"/>
  </r>
  <r>
    <n v="10506"/>
    <x v="54"/>
    <x v="4"/>
    <n v="9.9499999999999993"/>
    <s v="Drive-thru "/>
    <x v="1"/>
    <x v="1"/>
    <x v="1"/>
    <n v="202"/>
    <n v="2009.8999999999999"/>
  </r>
  <r>
    <n v="10507"/>
    <x v="55"/>
    <x v="0"/>
    <n v="3.49"/>
    <s v="Drive-thru "/>
    <x v="1"/>
    <x v="1"/>
    <x v="1"/>
    <n v="689"/>
    <n v="2404.61"/>
  </r>
  <r>
    <n v="10508"/>
    <x v="56"/>
    <x v="1"/>
    <n v="2.95"/>
    <s v="Drive-thru "/>
    <x v="1"/>
    <x v="1"/>
    <x v="1"/>
    <n v="679"/>
    <n v="2003.0500000000002"/>
  </r>
  <r>
    <n v="10509"/>
    <x v="57"/>
    <x v="2"/>
    <n v="4.99"/>
    <s v="Drive-thru "/>
    <x v="1"/>
    <x v="1"/>
    <x v="1"/>
    <n v="201"/>
    <n v="1002.99"/>
  </r>
  <r>
    <n v="10510"/>
    <x v="58"/>
    <x v="3"/>
    <n v="12.99"/>
    <s v="Drive-thru "/>
    <x v="1"/>
    <x v="1"/>
    <x v="1"/>
    <n v="509"/>
    <n v="6611.91"/>
  </r>
  <r>
    <n v="10511"/>
    <x v="59"/>
    <x v="4"/>
    <n v="9.9499999999999993"/>
    <s v="Drive-thru "/>
    <x v="1"/>
    <x v="2"/>
    <x v="2"/>
    <n v="202"/>
    <n v="2009.8999999999999"/>
  </r>
  <r>
    <n v="10512"/>
    <x v="60"/>
    <x v="0"/>
    <n v="3.49"/>
    <s v="Drive-thru "/>
    <x v="1"/>
    <x v="2"/>
    <x v="2"/>
    <n v="689"/>
    <n v="2404.61"/>
  </r>
  <r>
    <n v="10513"/>
    <x v="61"/>
    <x v="1"/>
    <n v="2.95"/>
    <s v="Drive-thru "/>
    <x v="2"/>
    <x v="2"/>
    <x v="2"/>
    <n v="679"/>
    <n v="2003.0500000000002"/>
  </r>
  <r>
    <n v="10514"/>
    <x v="62"/>
    <x v="2"/>
    <n v="4.99"/>
    <s v="Drive-thru "/>
    <x v="2"/>
    <x v="2"/>
    <x v="2"/>
    <n v="201"/>
    <n v="1002.99"/>
  </r>
  <r>
    <n v="10515"/>
    <x v="63"/>
    <x v="3"/>
    <n v="12.99"/>
    <s v="Drive-thru "/>
    <x v="2"/>
    <x v="2"/>
    <x v="2"/>
    <n v="478"/>
    <n v="6209.22"/>
  </r>
  <r>
    <n v="10516"/>
    <x v="64"/>
    <x v="4"/>
    <n v="9.9499999999999993"/>
    <s v="Drive-thru "/>
    <x v="2"/>
    <x v="2"/>
    <x v="2"/>
    <n v="202"/>
    <n v="2009.8999999999999"/>
  </r>
  <r>
    <n v="10483"/>
    <x v="65"/>
    <x v="1"/>
    <n v="2.95"/>
    <s v="In-store "/>
    <x v="1"/>
    <x v="2"/>
    <x v="2"/>
    <n v="679"/>
    <n v="2003.0500000000002"/>
  </r>
  <r>
    <n v="10484"/>
    <x v="66"/>
    <x v="2"/>
    <n v="4.99"/>
    <s v="In-store "/>
    <x v="1"/>
    <x v="2"/>
    <x v="2"/>
    <n v="201"/>
    <n v="1002.99"/>
  </r>
  <r>
    <n v="10485"/>
    <x v="67"/>
    <x v="3"/>
    <n v="12.99"/>
    <s v="In-store "/>
    <x v="1"/>
    <x v="2"/>
    <x v="2"/>
    <n v="524"/>
    <n v="6806.76"/>
  </r>
  <r>
    <n v="10520"/>
    <x v="68"/>
    <x v="3"/>
    <n v="12.99"/>
    <s v="Drive-thru "/>
    <x v="2"/>
    <x v="4"/>
    <x v="4"/>
    <n v="494"/>
    <n v="6417.06"/>
  </r>
  <r>
    <n v="10521"/>
    <x v="69"/>
    <x v="4"/>
    <n v="9.9499999999999993"/>
    <s v="Drive-thru "/>
    <x v="2"/>
    <x v="4"/>
    <x v="4"/>
    <n v="202"/>
    <n v="2009.8999999999999"/>
  </r>
  <r>
    <n v="10522"/>
    <x v="70"/>
    <x v="0"/>
    <n v="3.49"/>
    <s v="Drive-thru "/>
    <x v="2"/>
    <x v="4"/>
    <x v="4"/>
    <n v="689"/>
    <n v="2404.61"/>
  </r>
  <r>
    <n v="10523"/>
    <x v="71"/>
    <x v="1"/>
    <n v="2.95"/>
    <s v="Drive-thru "/>
    <x v="2"/>
    <x v="4"/>
    <x v="4"/>
    <n v="747"/>
    <n v="2203.65"/>
  </r>
  <r>
    <n v="10524"/>
    <x v="72"/>
    <x v="2"/>
    <n v="4.99"/>
    <s v="Drive-thru "/>
    <x v="2"/>
    <x v="4"/>
    <x v="4"/>
    <n v="201"/>
    <n v="1002.99"/>
  </r>
  <r>
    <n v="10525"/>
    <x v="73"/>
    <x v="3"/>
    <n v="12.99"/>
    <s v="Drive-thru "/>
    <x v="2"/>
    <x v="4"/>
    <x v="4"/>
    <n v="463"/>
    <n v="6014.37"/>
  </r>
  <r>
    <n v="10526"/>
    <x v="74"/>
    <x v="4"/>
    <n v="9.9499999999999993"/>
    <s v="Drive-thru "/>
    <x v="2"/>
    <x v="4"/>
    <x v="4"/>
    <n v="202"/>
    <n v="2009.8999999999999"/>
  </r>
  <r>
    <n v="10527"/>
    <x v="75"/>
    <x v="0"/>
    <n v="3.49"/>
    <s v="Drive-thru "/>
    <x v="2"/>
    <x v="4"/>
    <x v="4"/>
    <n v="688"/>
    <n v="2401.1200000000003"/>
  </r>
  <r>
    <n v="10528"/>
    <x v="76"/>
    <x v="1"/>
    <n v="2.95"/>
    <s v="Drive-thru "/>
    <x v="2"/>
    <x v="4"/>
    <x v="4"/>
    <n v="747"/>
    <n v="2203.65"/>
  </r>
  <r>
    <n v="10529"/>
    <x v="77"/>
    <x v="2"/>
    <n v="4.99"/>
    <s v="Drive-thru "/>
    <x v="2"/>
    <x v="4"/>
    <x v="4"/>
    <n v="201"/>
    <n v="1002.99"/>
  </r>
  <r>
    <n v="10530"/>
    <x v="78"/>
    <x v="3"/>
    <n v="12.99"/>
    <s v="Drive-thru "/>
    <x v="2"/>
    <x v="4"/>
    <x v="4"/>
    <n v="478"/>
    <n v="6209.22"/>
  </r>
  <r>
    <n v="10531"/>
    <x v="79"/>
    <x v="4"/>
    <n v="9.9499999999999993"/>
    <s v="Drive-thru "/>
    <x v="2"/>
    <x v="4"/>
    <x v="4"/>
    <n v="202"/>
    <n v="2009.8999999999999"/>
  </r>
  <r>
    <n v="10532"/>
    <x v="80"/>
    <x v="0"/>
    <n v="3.49"/>
    <s v="Drive-thru "/>
    <x v="2"/>
    <x v="2"/>
    <x v="2"/>
    <n v="689"/>
    <n v="2404.61"/>
  </r>
  <r>
    <n v="10533"/>
    <x v="81"/>
    <x v="1"/>
    <n v="2.95"/>
    <s v="Drive-thru "/>
    <x v="2"/>
    <x v="2"/>
    <x v="2"/>
    <n v="746"/>
    <n v="2200.7000000000003"/>
  </r>
  <r>
    <n v="10534"/>
    <x v="82"/>
    <x v="2"/>
    <n v="4.99"/>
    <s v="Drive-thru "/>
    <x v="2"/>
    <x v="1"/>
    <x v="1"/>
    <n v="202"/>
    <n v="1007.98"/>
  </r>
  <r>
    <n v="10535"/>
    <x v="83"/>
    <x v="3"/>
    <n v="12.99"/>
    <s v="Drive-thru "/>
    <x v="1"/>
    <x v="1"/>
    <x v="1"/>
    <n v="478"/>
    <n v="6209.22"/>
  </r>
  <r>
    <n v="10536"/>
    <x v="84"/>
    <x v="4"/>
    <n v="9.9499999999999993"/>
    <s v="Drive-thru "/>
    <x v="1"/>
    <x v="1"/>
    <x v="1"/>
    <n v="202"/>
    <n v="2009.8999999999999"/>
  </r>
  <r>
    <n v="10537"/>
    <x v="85"/>
    <x v="0"/>
    <n v="3.49"/>
    <s v="Drive-thru "/>
    <x v="1"/>
    <x v="1"/>
    <x v="1"/>
    <n v="631"/>
    <n v="2202.19"/>
  </r>
  <r>
    <n v="10538"/>
    <x v="86"/>
    <x v="1"/>
    <n v="2.95"/>
    <s v="Drive-thru "/>
    <x v="1"/>
    <x v="1"/>
    <x v="1"/>
    <n v="747"/>
    <n v="2203.65"/>
  </r>
  <r>
    <n v="10539"/>
    <x v="87"/>
    <x v="2"/>
    <n v="4.99"/>
    <s v="Drive-thru "/>
    <x v="1"/>
    <x v="1"/>
    <x v="1"/>
    <n v="202"/>
    <n v="1007.98"/>
  </r>
  <r>
    <n v="10540"/>
    <x v="88"/>
    <x v="3"/>
    <n v="12.99"/>
    <s v="Drive-thru "/>
    <x v="1"/>
    <x v="1"/>
    <x v="1"/>
    <n v="463"/>
    <n v="6014.37"/>
  </r>
  <r>
    <n v="10541"/>
    <x v="89"/>
    <x v="4"/>
    <n v="9.9499999999999993"/>
    <s v="Drive-thru "/>
    <x v="1"/>
    <x v="0"/>
    <x v="0"/>
    <n v="202"/>
    <n v="2009.8999999999999"/>
  </r>
  <r>
    <n v="10542"/>
    <x v="90"/>
    <x v="0"/>
    <n v="3.49"/>
    <s v="Drive-thru "/>
    <x v="1"/>
    <x v="0"/>
    <x v="0"/>
    <n v="631"/>
    <n v="2202.19"/>
  </r>
  <r>
    <n v="10543"/>
    <x v="91"/>
    <x v="1"/>
    <n v="2.95"/>
    <s v="Drive-thru "/>
    <x v="1"/>
    <x v="0"/>
    <x v="0"/>
    <n v="746"/>
    <n v="2200.7000000000003"/>
  </r>
  <r>
    <n v="10544"/>
    <x v="92"/>
    <x v="2"/>
    <n v="4.99"/>
    <s v="Drive-thru "/>
    <x v="1"/>
    <x v="0"/>
    <x v="0"/>
    <n v="201"/>
    <n v="1002.99"/>
  </r>
  <r>
    <n v="10545"/>
    <x v="93"/>
    <x v="3"/>
    <n v="12.99"/>
    <s v="Drive-thru "/>
    <x v="1"/>
    <x v="0"/>
    <x v="0"/>
    <n v="447"/>
    <n v="5806.53"/>
  </r>
  <r>
    <n v="10546"/>
    <x v="94"/>
    <x v="4"/>
    <n v="9.9499999999999993"/>
    <s v="Drive-thru "/>
    <x v="1"/>
    <x v="0"/>
    <x v="0"/>
    <n v="202"/>
    <n v="2009.8999999999999"/>
  </r>
  <r>
    <n v="10547"/>
    <x v="95"/>
    <x v="0"/>
    <n v="3.49"/>
    <s v="Drive-thru "/>
    <x v="1"/>
    <x v="0"/>
    <x v="0"/>
    <n v="631"/>
    <n v="2202.19"/>
  </r>
  <r>
    <n v="10548"/>
    <x v="96"/>
    <x v="1"/>
    <n v="2.95"/>
    <s v="Drive-thru "/>
    <x v="1"/>
    <x v="0"/>
    <x v="0"/>
    <n v="747"/>
    <n v="2203.65"/>
  </r>
  <r>
    <n v="10549"/>
    <x v="97"/>
    <x v="2"/>
    <n v="4.99"/>
    <s v="Drive-thru "/>
    <x v="1"/>
    <x v="0"/>
    <x v="0"/>
    <n v="202"/>
    <n v="1007.98"/>
  </r>
  <r>
    <n v="10550"/>
    <x v="98"/>
    <x v="3"/>
    <n v="12.99"/>
    <s v="Drive-thru "/>
    <x v="1"/>
    <x v="0"/>
    <x v="0"/>
    <n v="463"/>
    <n v="6014.37"/>
  </r>
  <r>
    <n v="10551"/>
    <x v="99"/>
    <x v="4"/>
    <n v="9.9499999999999993"/>
    <s v="Drive-thru "/>
    <x v="1"/>
    <x v="0"/>
    <x v="0"/>
    <n v="202"/>
    <n v="2009.8999999999999"/>
  </r>
  <r>
    <n v="10552"/>
    <x v="100"/>
    <x v="0"/>
    <n v="3.49"/>
    <s v="Online "/>
    <x v="1"/>
    <x v="0"/>
    <x v="0"/>
    <n v="631"/>
    <n v="2202.19"/>
  </r>
  <r>
    <n v="10553"/>
    <x v="101"/>
    <x v="1"/>
    <n v="2.95"/>
    <s v="Online "/>
    <x v="1"/>
    <x v="0"/>
    <x v="0"/>
    <n v="747"/>
    <n v="2203.65"/>
  </r>
  <r>
    <n v="10554"/>
    <x v="102"/>
    <x v="2"/>
    <n v="4.99"/>
    <s v="Online "/>
    <x v="1"/>
    <x v="0"/>
    <x v="0"/>
    <n v="201"/>
    <n v="1002.99"/>
  </r>
  <r>
    <n v="10555"/>
    <x v="103"/>
    <x v="3"/>
    <n v="12.99"/>
    <s v="Online "/>
    <x v="1"/>
    <x v="0"/>
    <x v="0"/>
    <n v="478"/>
    <n v="6209.22"/>
  </r>
  <r>
    <n v="10556"/>
    <x v="104"/>
    <x v="4"/>
    <n v="9.9499999999999993"/>
    <s v="Online "/>
    <x v="1"/>
    <x v="0"/>
    <x v="0"/>
    <n v="202"/>
    <n v="2009.8999999999999"/>
  </r>
  <r>
    <n v="10557"/>
    <x v="105"/>
    <x v="0"/>
    <n v="3.49"/>
    <s v="Online "/>
    <x v="1"/>
    <x v="0"/>
    <x v="0"/>
    <n v="631"/>
    <n v="2202.19"/>
  </r>
  <r>
    <n v="10558"/>
    <x v="106"/>
    <x v="1"/>
    <n v="2.95"/>
    <s v="Online "/>
    <x v="1"/>
    <x v="0"/>
    <x v="0"/>
    <n v="679"/>
    <n v="2003.0500000000002"/>
  </r>
  <r>
    <n v="10559"/>
    <x v="107"/>
    <x v="2"/>
    <n v="4.99"/>
    <s v="Online "/>
    <x v="1"/>
    <x v="0"/>
    <x v="0"/>
    <n v="201"/>
    <n v="1002.99"/>
  </r>
  <r>
    <n v="10560"/>
    <x v="108"/>
    <x v="3"/>
    <n v="12.99"/>
    <s v="Online "/>
    <x v="1"/>
    <x v="0"/>
    <x v="0"/>
    <n v="479"/>
    <n v="6222.21"/>
  </r>
  <r>
    <n v="10561"/>
    <x v="109"/>
    <x v="4"/>
    <n v="9.9499999999999993"/>
    <s v="Online "/>
    <x v="1"/>
    <x v="0"/>
    <x v="0"/>
    <n v="202"/>
    <n v="2009.8999999999999"/>
  </r>
  <r>
    <n v="10562"/>
    <x v="110"/>
    <x v="0"/>
    <n v="3.49"/>
    <s v="Online "/>
    <x v="1"/>
    <x v="0"/>
    <x v="0"/>
    <n v="631"/>
    <n v="2202.19"/>
  </r>
  <r>
    <n v="10563"/>
    <x v="111"/>
    <x v="1"/>
    <n v="2.95"/>
    <s v="Online "/>
    <x v="1"/>
    <x v="0"/>
    <x v="0"/>
    <n v="678"/>
    <n v="2000.1000000000001"/>
  </r>
  <r>
    <n v="10564"/>
    <x v="112"/>
    <x v="2"/>
    <n v="4.99"/>
    <s v="Online "/>
    <x v="1"/>
    <x v="0"/>
    <x v="0"/>
    <n v="201"/>
    <n v="1002.99"/>
  </r>
  <r>
    <n v="10565"/>
    <x v="113"/>
    <x v="3"/>
    <n v="12.99"/>
    <s v="Online "/>
    <x v="1"/>
    <x v="0"/>
    <x v="0"/>
    <n v="494"/>
    <n v="6417.06"/>
  </r>
  <r>
    <n v="10566"/>
    <x v="114"/>
    <x v="4"/>
    <n v="9.9499999999999993"/>
    <s v="Online "/>
    <x v="1"/>
    <x v="0"/>
    <x v="0"/>
    <n v="202"/>
    <n v="2009.8999999999999"/>
  </r>
  <r>
    <n v="10567"/>
    <x v="115"/>
    <x v="0"/>
    <n v="3.49"/>
    <s v="Online "/>
    <x v="1"/>
    <x v="0"/>
    <x v="0"/>
    <n v="631"/>
    <n v="2202.19"/>
  </r>
  <r>
    <n v="10568"/>
    <x v="116"/>
    <x v="1"/>
    <n v="2.95"/>
    <s v="Online "/>
    <x v="1"/>
    <x v="0"/>
    <x v="0"/>
    <n v="678"/>
    <n v="2000.1000000000001"/>
  </r>
  <r>
    <n v="10569"/>
    <x v="117"/>
    <x v="2"/>
    <n v="4.99"/>
    <s v="Online "/>
    <x v="1"/>
    <x v="0"/>
    <x v="0"/>
    <n v="201"/>
    <n v="1002.99"/>
  </r>
  <r>
    <n v="10570"/>
    <x v="118"/>
    <x v="3"/>
    <n v="12.99"/>
    <s v="Online "/>
    <x v="1"/>
    <x v="0"/>
    <x v="0"/>
    <n v="494"/>
    <n v="6417.06"/>
  </r>
  <r>
    <n v="10571"/>
    <x v="119"/>
    <x v="4"/>
    <n v="9.9499999999999993"/>
    <s v="Online "/>
    <x v="1"/>
    <x v="0"/>
    <x v="0"/>
    <n v="202"/>
    <n v="2009.8999999999999"/>
  </r>
  <r>
    <n v="10572"/>
    <x v="120"/>
    <x v="0"/>
    <n v="3.49"/>
    <s v="Online "/>
    <x v="1"/>
    <x v="4"/>
    <x v="4"/>
    <n v="574"/>
    <n v="2003.2600000000002"/>
  </r>
  <r>
    <n v="10573"/>
    <x v="121"/>
    <x v="1"/>
    <n v="2.95"/>
    <s v="Online "/>
    <x v="1"/>
    <x v="4"/>
    <x v="4"/>
    <n v="678"/>
    <n v="2000.1000000000001"/>
  </r>
  <r>
    <n v="10574"/>
    <x v="122"/>
    <x v="2"/>
    <n v="4.99"/>
    <s v="Online "/>
    <x v="1"/>
    <x v="4"/>
    <x v="4"/>
    <n v="202"/>
    <n v="1007.98"/>
  </r>
  <r>
    <n v="10575"/>
    <x v="123"/>
    <x v="3"/>
    <n v="12.99"/>
    <s v="Online "/>
    <x v="1"/>
    <x v="4"/>
    <x v="4"/>
    <n v="524"/>
    <n v="6806.76"/>
  </r>
  <r>
    <n v="10576"/>
    <x v="124"/>
    <x v="4"/>
    <n v="9.9499999999999993"/>
    <s v="Online "/>
    <x v="1"/>
    <x v="4"/>
    <x v="4"/>
    <n v="202"/>
    <n v="2009.8999999999999"/>
  </r>
  <r>
    <n v="10577"/>
    <x v="125"/>
    <x v="0"/>
    <n v="3.49"/>
    <s v="Online "/>
    <x v="1"/>
    <x v="4"/>
    <x v="4"/>
    <n v="631"/>
    <n v="2202.19"/>
  </r>
  <r>
    <n v="10578"/>
    <x v="126"/>
    <x v="1"/>
    <n v="2.95"/>
    <s v="Online "/>
    <x v="1"/>
    <x v="4"/>
    <x v="4"/>
    <n v="679"/>
    <n v="2003.0500000000002"/>
  </r>
  <r>
    <n v="10579"/>
    <x v="127"/>
    <x v="2"/>
    <n v="4.99"/>
    <s v="Online "/>
    <x v="1"/>
    <x v="4"/>
    <x v="4"/>
    <n v="201"/>
    <n v="1002.99"/>
  </r>
  <r>
    <n v="10580"/>
    <x v="128"/>
    <x v="3"/>
    <n v="12.99"/>
    <s v="Online "/>
    <x v="1"/>
    <x v="4"/>
    <x v="4"/>
    <n v="524"/>
    <n v="6806.76"/>
  </r>
  <r>
    <n v="10581"/>
    <x v="129"/>
    <x v="4"/>
    <n v="9.9499999999999993"/>
    <s v="Online "/>
    <x v="1"/>
    <x v="4"/>
    <x v="4"/>
    <n v="202"/>
    <n v="2009.8999999999999"/>
  </r>
  <r>
    <n v="10582"/>
    <x v="130"/>
    <x v="0"/>
    <n v="3.49"/>
    <s v="Online "/>
    <x v="1"/>
    <x v="0"/>
    <x v="0"/>
    <n v="631"/>
    <n v="2202.19"/>
  </r>
  <r>
    <n v="10583"/>
    <x v="131"/>
    <x v="1"/>
    <n v="2.95"/>
    <s v="Online "/>
    <x v="1"/>
    <x v="0"/>
    <x v="0"/>
    <n v="679"/>
    <n v="2003.0500000000002"/>
  </r>
  <r>
    <n v="10584"/>
    <x v="132"/>
    <x v="2"/>
    <n v="4.99"/>
    <s v="Online "/>
    <x v="1"/>
    <x v="0"/>
    <x v="0"/>
    <n v="201"/>
    <n v="1002.99"/>
  </r>
  <r>
    <n v="10585"/>
    <x v="133"/>
    <x v="3"/>
    <n v="12.99"/>
    <s v="Online "/>
    <x v="1"/>
    <x v="0"/>
    <x v="0"/>
    <n v="540"/>
    <n v="7014.6"/>
  </r>
  <r>
    <n v="10586"/>
    <x v="134"/>
    <x v="4"/>
    <n v="9.9499999999999993"/>
    <s v="Online "/>
    <x v="1"/>
    <x v="0"/>
    <x v="0"/>
    <n v="202"/>
    <n v="2009.8999999999999"/>
  </r>
  <r>
    <n v="10537"/>
    <x v="135"/>
    <x v="0"/>
    <n v="3.49"/>
    <s v="Drive-thru "/>
    <x v="1"/>
    <x v="1"/>
    <x v="1"/>
    <n v="631"/>
    <n v="2202.19"/>
  </r>
  <r>
    <n v="10538"/>
    <x v="136"/>
    <x v="1"/>
    <n v="2.95"/>
    <s v="Drive-thru "/>
    <x v="1"/>
    <x v="1"/>
    <x v="1"/>
    <n v="747"/>
    <n v="2203.65"/>
  </r>
  <r>
    <n v="10539"/>
    <x v="137"/>
    <x v="2"/>
    <n v="4.99"/>
    <s v="Drive-thru "/>
    <x v="1"/>
    <x v="1"/>
    <x v="1"/>
    <n v="201"/>
    <n v="1002.99"/>
  </r>
  <r>
    <n v="10590"/>
    <x v="138"/>
    <x v="3"/>
    <n v="12.99"/>
    <s v="Online "/>
    <x v="1"/>
    <x v="0"/>
    <x v="0"/>
    <n v="555"/>
    <n v="7209.45"/>
  </r>
  <r>
    <n v="10591"/>
    <x v="139"/>
    <x v="4"/>
    <n v="9.9499999999999993"/>
    <s v="Online "/>
    <x v="1"/>
    <x v="0"/>
    <x v="0"/>
    <n v="202"/>
    <n v="2009.8999999999999"/>
  </r>
  <r>
    <n v="10592"/>
    <x v="140"/>
    <x v="0"/>
    <n v="3.49"/>
    <s v="Online "/>
    <x v="1"/>
    <x v="0"/>
    <x v="0"/>
    <n v="574"/>
    <n v="2003.2600000000002"/>
  </r>
  <r>
    <n v="10593"/>
    <x v="141"/>
    <x v="1"/>
    <n v="2.95"/>
    <s v="Online "/>
    <x v="1"/>
    <x v="0"/>
    <x v="0"/>
    <n v="678"/>
    <n v="2000.1000000000001"/>
  </r>
  <r>
    <n v="10594"/>
    <x v="142"/>
    <x v="2"/>
    <n v="4.99"/>
    <s v="Online "/>
    <x v="1"/>
    <x v="0"/>
    <x v="0"/>
    <n v="201"/>
    <n v="1002.99"/>
  </r>
  <r>
    <n v="10595"/>
    <x v="143"/>
    <x v="3"/>
    <n v="12.99"/>
    <s v="Online "/>
    <x v="1"/>
    <x v="0"/>
    <x v="0"/>
    <n v="539"/>
    <n v="7001.61"/>
  </r>
  <r>
    <n v="10596"/>
    <x v="144"/>
    <x v="4"/>
    <n v="9.9499999999999993"/>
    <s v="Online "/>
    <x v="1"/>
    <x v="0"/>
    <x v="0"/>
    <n v="202"/>
    <n v="2009.8999999999999"/>
  </r>
  <r>
    <n v="10597"/>
    <x v="145"/>
    <x v="0"/>
    <n v="3.49"/>
    <s v="Online "/>
    <x v="1"/>
    <x v="0"/>
    <x v="0"/>
    <n v="574"/>
    <n v="2003.2600000000002"/>
  </r>
  <r>
    <n v="10598"/>
    <x v="146"/>
    <x v="1"/>
    <n v="2.95"/>
    <s v="Online "/>
    <x v="1"/>
    <x v="0"/>
    <x v="0"/>
    <n v="679"/>
    <n v="2003.0500000000002"/>
  </r>
  <r>
    <n v="10599"/>
    <x v="147"/>
    <x v="2"/>
    <n v="4.99"/>
    <s v="Online "/>
    <x v="1"/>
    <x v="0"/>
    <x v="0"/>
    <n v="202"/>
    <n v="1007.98"/>
  </r>
  <r>
    <n v="10600"/>
    <x v="148"/>
    <x v="3"/>
    <n v="12.99"/>
    <s v="Online "/>
    <x v="1"/>
    <x v="0"/>
    <x v="0"/>
    <n v="524"/>
    <n v="6806.76"/>
  </r>
  <r>
    <n v="10601"/>
    <x v="149"/>
    <x v="4"/>
    <n v="9.9499999999999993"/>
    <s v="Online "/>
    <x v="1"/>
    <x v="0"/>
    <x v="0"/>
    <n v="202"/>
    <n v="2009.8999999999999"/>
  </r>
  <r>
    <n v="10602"/>
    <x v="150"/>
    <x v="0"/>
    <n v="3.49"/>
    <s v="Online "/>
    <x v="2"/>
    <x v="0"/>
    <x v="0"/>
    <n v="631"/>
    <n v="2202.19"/>
  </r>
  <r>
    <n v="10603"/>
    <x v="151"/>
    <x v="1"/>
    <n v="2.95"/>
    <s v="Online "/>
    <x v="2"/>
    <x v="0"/>
    <x v="0"/>
    <n v="679"/>
    <n v="2003.0500000000002"/>
  </r>
  <r>
    <n v="10604"/>
    <x v="152"/>
    <x v="2"/>
    <n v="4.99"/>
    <s v="Online "/>
    <x v="2"/>
    <x v="0"/>
    <x v="0"/>
    <n v="201"/>
    <n v="1002.99"/>
  </r>
  <r>
    <n v="10605"/>
    <x v="153"/>
    <x v="3"/>
    <n v="12.99"/>
    <s v="Online "/>
    <x v="2"/>
    <x v="0"/>
    <x v="0"/>
    <n v="540"/>
    <n v="7014.6"/>
  </r>
  <r>
    <n v="10606"/>
    <x v="154"/>
    <x v="4"/>
    <n v="9.9499999999999993"/>
    <s v="Online "/>
    <x v="2"/>
    <x v="0"/>
    <x v="0"/>
    <n v="202"/>
    <n v="2009.8999999999999"/>
  </r>
  <r>
    <n v="10607"/>
    <x v="155"/>
    <x v="0"/>
    <n v="3.49"/>
    <s v="Online "/>
    <x v="2"/>
    <x v="0"/>
    <x v="0"/>
    <n v="631"/>
    <n v="2202.19"/>
  </r>
  <r>
    <n v="10608"/>
    <x v="156"/>
    <x v="1"/>
    <n v="2.95"/>
    <s v="Online "/>
    <x v="0"/>
    <x v="0"/>
    <x v="0"/>
    <n v="679"/>
    <n v="2003.0500000000002"/>
  </r>
  <r>
    <n v="10609"/>
    <x v="157"/>
    <x v="2"/>
    <n v="4.99"/>
    <s v="Online "/>
    <x v="0"/>
    <x v="0"/>
    <x v="0"/>
    <n v="202"/>
    <n v="1007.98"/>
  </r>
  <r>
    <n v="10610"/>
    <x v="158"/>
    <x v="3"/>
    <n v="12.99"/>
    <s v="Online "/>
    <x v="0"/>
    <x v="0"/>
    <x v="0"/>
    <n v="571"/>
    <n v="7417.29"/>
  </r>
  <r>
    <n v="10611"/>
    <x v="159"/>
    <x v="4"/>
    <n v="9.9499999999999993"/>
    <s v="Online "/>
    <x v="0"/>
    <x v="0"/>
    <x v="0"/>
    <n v="202"/>
    <n v="2009.8999999999999"/>
  </r>
  <r>
    <n v="10612"/>
    <x v="160"/>
    <x v="0"/>
    <n v="3.49"/>
    <s v="Online "/>
    <x v="0"/>
    <x v="0"/>
    <x v="0"/>
    <n v="631"/>
    <n v="2202.19"/>
  </r>
  <r>
    <n v="10613"/>
    <x v="161"/>
    <x v="1"/>
    <n v="2.95"/>
    <s v="Online "/>
    <x v="0"/>
    <x v="0"/>
    <x v="0"/>
    <n v="679"/>
    <n v="2003.0500000000002"/>
  </r>
  <r>
    <n v="10614"/>
    <x v="162"/>
    <x v="2"/>
    <n v="4.99"/>
    <s v="Online "/>
    <x v="0"/>
    <x v="0"/>
    <x v="0"/>
    <n v="201"/>
    <n v="1002.99"/>
  </r>
  <r>
    <n v="10615"/>
    <x v="163"/>
    <x v="3"/>
    <n v="12.99"/>
    <s v="Online "/>
    <x v="0"/>
    <x v="0"/>
    <x v="0"/>
    <n v="571"/>
    <n v="7417.29"/>
  </r>
  <r>
    <n v="10616"/>
    <x v="164"/>
    <x v="4"/>
    <n v="9.9499999999999993"/>
    <s v="Online "/>
    <x v="0"/>
    <x v="0"/>
    <x v="0"/>
    <n v="202"/>
    <n v="2009.8999999999999"/>
  </r>
  <r>
    <n v="10617"/>
    <x v="165"/>
    <x v="0"/>
    <n v="3.49"/>
    <s v="Online "/>
    <x v="0"/>
    <x v="0"/>
    <x v="0"/>
    <n v="631"/>
    <n v="2202.19"/>
  </r>
  <r>
    <n v="10618"/>
    <x v="166"/>
    <x v="1"/>
    <n v="2.95"/>
    <s v="Online "/>
    <x v="0"/>
    <x v="0"/>
    <x v="0"/>
    <n v="679"/>
    <n v="2003.0500000000002"/>
  </r>
  <r>
    <n v="10619"/>
    <x v="167"/>
    <x v="2"/>
    <n v="4.99"/>
    <s v="Online "/>
    <x v="0"/>
    <x v="0"/>
    <x v="0"/>
    <n v="201"/>
    <n v="1002.99"/>
  </r>
  <r>
    <n v="10620"/>
    <x v="168"/>
    <x v="3"/>
    <n v="12.99"/>
    <s v="Online "/>
    <x v="0"/>
    <x v="0"/>
    <x v="0"/>
    <n v="586"/>
    <n v="7612.14"/>
  </r>
  <r>
    <n v="10621"/>
    <x v="169"/>
    <x v="4"/>
    <n v="9.9499999999999993"/>
    <s v="Online "/>
    <x v="0"/>
    <x v="0"/>
    <x v="0"/>
    <n v="202"/>
    <n v="2009.8999999999999"/>
  </r>
  <r>
    <n v="10622"/>
    <x v="170"/>
    <x v="0"/>
    <n v="3.49"/>
    <s v="Online "/>
    <x v="0"/>
    <x v="0"/>
    <x v="0"/>
    <n v="632"/>
    <n v="2205.6800000000003"/>
  </r>
  <r>
    <n v="10623"/>
    <x v="171"/>
    <x v="1"/>
    <n v="2.95"/>
    <s v="Online "/>
    <x v="0"/>
    <x v="0"/>
    <x v="0"/>
    <n v="746"/>
    <n v="2200.7000000000003"/>
  </r>
  <r>
    <n v="10624"/>
    <x v="172"/>
    <x v="2"/>
    <n v="4.99"/>
    <s v="Online "/>
    <x v="0"/>
    <x v="0"/>
    <x v="0"/>
    <n v="201"/>
    <n v="1002.99"/>
  </r>
  <r>
    <n v="10625"/>
    <x v="173"/>
    <x v="3"/>
    <n v="12.99"/>
    <s v="Online "/>
    <x v="0"/>
    <x v="0"/>
    <x v="0"/>
    <n v="571"/>
    <n v="7417.29"/>
  </r>
  <r>
    <n v="10626"/>
    <x v="174"/>
    <x v="4"/>
    <n v="9.9499999999999993"/>
    <s v="Online "/>
    <x v="0"/>
    <x v="0"/>
    <x v="0"/>
    <n v="202"/>
    <n v="2009.8999999999999"/>
  </r>
  <r>
    <n v="10627"/>
    <x v="175"/>
    <x v="0"/>
    <n v="3.49"/>
    <s v="Online "/>
    <x v="0"/>
    <x v="0"/>
    <x v="0"/>
    <n v="631"/>
    <n v="2202.19"/>
  </r>
  <r>
    <n v="10628"/>
    <x v="176"/>
    <x v="1"/>
    <n v="2.95"/>
    <s v="Online "/>
    <x v="0"/>
    <x v="2"/>
    <x v="2"/>
    <n v="679"/>
    <n v="2003.0500000000002"/>
  </r>
  <r>
    <n v="10629"/>
    <x v="177"/>
    <x v="2"/>
    <n v="4.99"/>
    <s v="Online "/>
    <x v="0"/>
    <x v="2"/>
    <x v="2"/>
    <n v="202"/>
    <n v="1007.98"/>
  </r>
  <r>
    <n v="10630"/>
    <x v="178"/>
    <x v="3"/>
    <n v="12.99"/>
    <s v="Online "/>
    <x v="2"/>
    <x v="2"/>
    <x v="2"/>
    <n v="570"/>
    <n v="7404.3"/>
  </r>
  <r>
    <n v="10631"/>
    <x v="179"/>
    <x v="4"/>
    <n v="9.9499999999999993"/>
    <s v="Online "/>
    <x v="0"/>
    <x v="2"/>
    <x v="2"/>
    <n v="202"/>
    <n v="2009.8999999999999"/>
  </r>
  <r>
    <n v="10632"/>
    <x v="180"/>
    <x v="0"/>
    <n v="3.49"/>
    <s v="Online "/>
    <x v="0"/>
    <x v="2"/>
    <x v="2"/>
    <n v="631"/>
    <n v="2202.19"/>
  </r>
  <r>
    <n v="10633"/>
    <x v="181"/>
    <x v="1"/>
    <n v="2.95"/>
    <s v="Online "/>
    <x v="0"/>
    <x v="2"/>
    <x v="2"/>
    <n v="679"/>
    <n v="2003.0500000000002"/>
  </r>
  <r>
    <n v="10634"/>
    <x v="182"/>
    <x v="2"/>
    <n v="4.99"/>
    <s v="Online "/>
    <x v="0"/>
    <x v="2"/>
    <x v="2"/>
    <n v="202"/>
    <n v="1007.98"/>
  </r>
  <r>
    <n v="10635"/>
    <x v="183"/>
    <x v="3"/>
    <n v="12.99"/>
    <s v="Online "/>
    <x v="0"/>
    <x v="2"/>
    <x v="2"/>
    <n v="555"/>
    <n v="7209.45"/>
  </r>
  <r>
    <n v="10636"/>
    <x v="184"/>
    <x v="4"/>
    <n v="9.9499999999999993"/>
    <s v="Online "/>
    <x v="0"/>
    <x v="2"/>
    <x v="2"/>
    <n v="222"/>
    <n v="2208.8999999999996"/>
  </r>
  <r>
    <n v="10637"/>
    <x v="185"/>
    <x v="0"/>
    <n v="3.49"/>
    <s v="Online "/>
    <x v="0"/>
    <x v="2"/>
    <x v="2"/>
    <n v="632"/>
    <n v="2205.6800000000003"/>
  </r>
  <r>
    <n v="10638"/>
    <x v="186"/>
    <x v="1"/>
    <n v="2.95"/>
    <s v="Online "/>
    <x v="0"/>
    <x v="2"/>
    <x v="2"/>
    <n v="679"/>
    <n v="2003.0500000000002"/>
  </r>
  <r>
    <n v="10639"/>
    <x v="187"/>
    <x v="2"/>
    <n v="4.99"/>
    <s v="Online "/>
    <x v="0"/>
    <x v="2"/>
    <x v="2"/>
    <n v="202"/>
    <n v="1007.98"/>
  </r>
  <r>
    <n v="10640"/>
    <x v="188"/>
    <x v="3"/>
    <n v="12.99"/>
    <s v="Online "/>
    <x v="0"/>
    <x v="2"/>
    <x v="2"/>
    <n v="540"/>
    <n v="7014.6"/>
  </r>
  <r>
    <n v="10641"/>
    <x v="189"/>
    <x v="4"/>
    <n v="9.9499999999999993"/>
    <s v="Online "/>
    <x v="0"/>
    <x v="2"/>
    <x v="2"/>
    <n v="222"/>
    <n v="2208.8999999999996"/>
  </r>
  <r>
    <n v="10642"/>
    <x v="190"/>
    <x v="0"/>
    <n v="3.49"/>
    <s v="Online "/>
    <x v="2"/>
    <x v="2"/>
    <x v="2"/>
    <n v="631"/>
    <n v="2202.19"/>
  </r>
  <r>
    <n v="10643"/>
    <x v="191"/>
    <x v="1"/>
    <n v="2.95"/>
    <s v="Online "/>
    <x v="2"/>
    <x v="2"/>
    <x v="2"/>
    <n v="679"/>
    <n v="2003.0500000000002"/>
  </r>
  <r>
    <n v="10644"/>
    <x v="192"/>
    <x v="2"/>
    <n v="4.99"/>
    <s v="Online "/>
    <x v="2"/>
    <x v="2"/>
    <x v="2"/>
    <n v="202"/>
    <n v="1007.98"/>
  </r>
  <r>
    <n v="10645"/>
    <x v="193"/>
    <x v="3"/>
    <n v="12.99"/>
    <s v="Online "/>
    <x v="2"/>
    <x v="2"/>
    <x v="2"/>
    <n v="570"/>
    <n v="7404.3"/>
  </r>
  <r>
    <n v="10646"/>
    <x v="194"/>
    <x v="4"/>
    <n v="9.9499999999999993"/>
    <s v="Online "/>
    <x v="2"/>
    <x v="2"/>
    <x v="2"/>
    <n v="222"/>
    <n v="2208.8999999999996"/>
  </r>
  <r>
    <n v="10647"/>
    <x v="195"/>
    <x v="0"/>
    <n v="3.49"/>
    <s v="Online "/>
    <x v="0"/>
    <x v="2"/>
    <x v="2"/>
    <n v="631"/>
    <n v="2202.19"/>
  </r>
  <r>
    <n v="10648"/>
    <x v="196"/>
    <x v="1"/>
    <n v="2.95"/>
    <s v="Online "/>
    <x v="0"/>
    <x v="2"/>
    <x v="2"/>
    <n v="747"/>
    <n v="2203.65"/>
  </r>
  <r>
    <n v="10649"/>
    <x v="197"/>
    <x v="2"/>
    <n v="4.99"/>
    <s v="Online "/>
    <x v="0"/>
    <x v="2"/>
    <x v="2"/>
    <n v="201"/>
    <n v="1002.99"/>
  </r>
  <r>
    <n v="10650"/>
    <x v="198"/>
    <x v="3"/>
    <n v="12.99"/>
    <s v="Online "/>
    <x v="0"/>
    <x v="2"/>
    <x v="2"/>
    <n v="586"/>
    <n v="7612.14"/>
  </r>
  <r>
    <n v="10651"/>
    <x v="199"/>
    <x v="4"/>
    <n v="9.9499999999999993"/>
    <s v="Online "/>
    <x v="0"/>
    <x v="2"/>
    <x v="2"/>
    <n v="222"/>
    <n v="2208.8999999999996"/>
  </r>
  <r>
    <n v="10652"/>
    <x v="200"/>
    <x v="0"/>
    <n v="3.49"/>
    <s v="Online "/>
    <x v="0"/>
    <x v="2"/>
    <x v="2"/>
    <n v="689"/>
    <n v="2404.61"/>
  </r>
  <r>
    <n v="10653"/>
    <x v="201"/>
    <x v="1"/>
    <n v="2.95"/>
    <s v="Online "/>
    <x v="0"/>
    <x v="2"/>
    <x v="2"/>
    <n v="746"/>
    <n v="2200.7000000000003"/>
  </r>
  <r>
    <n v="10654"/>
    <x v="202"/>
    <x v="2"/>
    <n v="4.99"/>
    <s v="Online "/>
    <x v="0"/>
    <x v="2"/>
    <x v="2"/>
    <n v="201"/>
    <n v="1002.99"/>
  </r>
  <r>
    <n v="10655"/>
    <x v="203"/>
    <x v="3"/>
    <n v="12.99"/>
    <s v="Online "/>
    <x v="0"/>
    <x v="2"/>
    <x v="2"/>
    <n v="602"/>
    <n v="7819.9800000000005"/>
  </r>
  <r>
    <n v="10656"/>
    <x v="204"/>
    <x v="4"/>
    <n v="9.9499999999999993"/>
    <s v="Online "/>
    <x v="0"/>
    <x v="2"/>
    <x v="2"/>
    <n v="222"/>
    <n v="2208.8999999999996"/>
  </r>
  <r>
    <n v="10657"/>
    <x v="205"/>
    <x v="0"/>
    <n v="3.49"/>
    <s v="Online "/>
    <x v="0"/>
    <x v="2"/>
    <x v="2"/>
    <n v="689"/>
    <n v="2404.61"/>
  </r>
  <r>
    <n v="10658"/>
    <x v="206"/>
    <x v="1"/>
    <n v="2.95"/>
    <s v="Online "/>
    <x v="2"/>
    <x v="2"/>
    <x v="2"/>
    <n v="747"/>
    <n v="2203.65"/>
  </r>
  <r>
    <n v="10659"/>
    <x v="207"/>
    <x v="2"/>
    <n v="4.99"/>
    <s v="Online "/>
    <x v="2"/>
    <x v="2"/>
    <x v="2"/>
    <n v="201"/>
    <n v="1002.99"/>
  </r>
  <r>
    <n v="10660"/>
    <x v="208"/>
    <x v="3"/>
    <n v="12.99"/>
    <s v="In-store "/>
    <x v="2"/>
    <x v="2"/>
    <x v="2"/>
    <n v="632"/>
    <n v="8209.68"/>
  </r>
  <r>
    <n v="10661"/>
    <x v="209"/>
    <x v="4"/>
    <n v="9.9499999999999993"/>
    <s v="In-store "/>
    <x v="2"/>
    <x v="2"/>
    <x v="2"/>
    <n v="222"/>
    <n v="2208.8999999999996"/>
  </r>
  <r>
    <n v="10662"/>
    <x v="210"/>
    <x v="0"/>
    <n v="3.49"/>
    <s v="In-store "/>
    <x v="2"/>
    <x v="2"/>
    <x v="2"/>
    <n v="631"/>
    <n v="2202.19"/>
  </r>
  <r>
    <n v="10663"/>
    <x v="211"/>
    <x v="1"/>
    <n v="2.95"/>
    <s v="In-store "/>
    <x v="2"/>
    <x v="2"/>
    <x v="2"/>
    <n v="747"/>
    <n v="2203.65"/>
  </r>
  <r>
    <n v="10664"/>
    <x v="212"/>
    <x v="2"/>
    <n v="4.99"/>
    <s v="In-store "/>
    <x v="2"/>
    <x v="2"/>
    <x v="2"/>
    <n v="201"/>
    <n v="1002.99"/>
  </r>
  <r>
    <n v="10665"/>
    <x v="213"/>
    <x v="3"/>
    <n v="12.99"/>
    <s v="In-store "/>
    <x v="2"/>
    <x v="2"/>
    <x v="2"/>
    <n v="648"/>
    <n v="8417.52"/>
  </r>
  <r>
    <n v="10666"/>
    <x v="214"/>
    <x v="4"/>
    <n v="9.9499999999999993"/>
    <s v="In-store "/>
    <x v="2"/>
    <x v="2"/>
    <x v="2"/>
    <n v="222"/>
    <n v="2208.8999999999996"/>
  </r>
  <r>
    <n v="10667"/>
    <x v="215"/>
    <x v="0"/>
    <n v="3.49"/>
    <s v="In-store "/>
    <x v="2"/>
    <x v="2"/>
    <x v="2"/>
    <n v="631"/>
    <n v="2202.19"/>
  </r>
  <r>
    <n v="10668"/>
    <x v="216"/>
    <x v="1"/>
    <n v="2.95"/>
    <s v="In-store "/>
    <x v="2"/>
    <x v="2"/>
    <x v="2"/>
    <n v="747"/>
    <n v="2203.65"/>
  </r>
  <r>
    <n v="10669"/>
    <x v="217"/>
    <x v="2"/>
    <n v="4.99"/>
    <s v="In-store "/>
    <x v="2"/>
    <x v="2"/>
    <x v="2"/>
    <n v="202"/>
    <n v="1007.98"/>
  </r>
  <r>
    <n v="10670"/>
    <x v="218"/>
    <x v="3"/>
    <n v="12.99"/>
    <s v="In-store "/>
    <x v="2"/>
    <x v="2"/>
    <x v="2"/>
    <n v="678"/>
    <n v="8807.2199999999993"/>
  </r>
  <r>
    <n v="10671"/>
    <x v="219"/>
    <x v="4"/>
    <n v="9.9499999999999993"/>
    <s v="In-store "/>
    <x v="2"/>
    <x v="2"/>
    <x v="2"/>
    <n v="222"/>
    <n v="2208.8999999999996"/>
  </r>
  <r>
    <n v="10672"/>
    <x v="220"/>
    <x v="0"/>
    <n v="3.49"/>
    <s v="In-store "/>
    <x v="2"/>
    <x v="2"/>
    <x v="2"/>
    <n v="631"/>
    <n v="2202.19"/>
  </r>
  <r>
    <n v="10673"/>
    <x v="221"/>
    <x v="1"/>
    <n v="2.95"/>
    <s v="In-store "/>
    <x v="2"/>
    <x v="2"/>
    <x v="2"/>
    <n v="747"/>
    <n v="2203.65"/>
  </r>
  <r>
    <n v="10674"/>
    <x v="222"/>
    <x v="2"/>
    <n v="4.99"/>
    <s v="In-store "/>
    <x v="2"/>
    <x v="2"/>
    <x v="2"/>
    <n v="202"/>
    <n v="1007.98"/>
  </r>
  <r>
    <n v="10675"/>
    <x v="223"/>
    <x v="3"/>
    <n v="12.99"/>
    <s v="In-store "/>
    <x v="2"/>
    <x v="2"/>
    <x v="2"/>
    <n v="678"/>
    <n v="8807.2199999999993"/>
  </r>
  <r>
    <n v="10676"/>
    <x v="224"/>
    <x v="4"/>
    <n v="9.9499999999999993"/>
    <s v="In-store "/>
    <x v="2"/>
    <x v="2"/>
    <x v="2"/>
    <n v="242"/>
    <n v="2407.8999999999996"/>
  </r>
  <r>
    <n v="10677"/>
    <x v="225"/>
    <x v="0"/>
    <n v="3.49"/>
    <s v="In-store "/>
    <x v="2"/>
    <x v="2"/>
    <x v="2"/>
    <n v="631"/>
    <n v="2202.19"/>
  </r>
  <r>
    <n v="10678"/>
    <x v="226"/>
    <x v="1"/>
    <n v="2.95"/>
    <s v="In-store "/>
    <x v="2"/>
    <x v="2"/>
    <x v="2"/>
    <n v="746"/>
    <n v="2200.7000000000003"/>
  </r>
  <r>
    <n v="10679"/>
    <x v="227"/>
    <x v="2"/>
    <n v="4.99"/>
    <s v="In-store "/>
    <x v="2"/>
    <x v="2"/>
    <x v="2"/>
    <n v="201"/>
    <n v="1002.99"/>
  </r>
  <r>
    <n v="10680"/>
    <x v="228"/>
    <x v="3"/>
    <n v="12.99"/>
    <s v="In-store "/>
    <x v="2"/>
    <x v="2"/>
    <x v="2"/>
    <n v="648"/>
    <n v="8417.52"/>
  </r>
  <r>
    <n v="10681"/>
    <x v="229"/>
    <x v="4"/>
    <n v="9.9499999999999993"/>
    <s v="In-store "/>
    <x v="2"/>
    <x v="2"/>
    <x v="2"/>
    <n v="242"/>
    <n v="2407.8999999999996"/>
  </r>
  <r>
    <n v="10682"/>
    <x v="230"/>
    <x v="0"/>
    <n v="3.49"/>
    <s v="In-store "/>
    <x v="2"/>
    <x v="2"/>
    <x v="2"/>
    <n v="631"/>
    <n v="2202.19"/>
  </r>
  <r>
    <n v="10683"/>
    <x v="231"/>
    <x v="1"/>
    <n v="2.95"/>
    <s v="In-store "/>
    <x v="2"/>
    <x v="2"/>
    <x v="2"/>
    <n v="678"/>
    <n v="2000.1000000000001"/>
  </r>
  <r>
    <n v="10684"/>
    <x v="232"/>
    <x v="2"/>
    <n v="4.99"/>
    <s v="In-store "/>
    <x v="2"/>
    <x v="2"/>
    <x v="2"/>
    <n v="202"/>
    <n v="1007.98"/>
  </r>
  <r>
    <n v="10685"/>
    <x v="233"/>
    <x v="3"/>
    <n v="12.99"/>
    <s v="In-store "/>
    <x v="2"/>
    <x v="2"/>
    <x v="2"/>
    <n v="678"/>
    <n v="8807.2199999999993"/>
  </r>
  <r>
    <n v="10686"/>
    <x v="234"/>
    <x v="4"/>
    <n v="9.9499999999999993"/>
    <s v="In-store "/>
    <x v="2"/>
    <x v="2"/>
    <x v="2"/>
    <n v="242"/>
    <n v="2407.8999999999996"/>
  </r>
  <r>
    <n v="10687"/>
    <x v="235"/>
    <x v="0"/>
    <n v="3.49"/>
    <s v="In-store "/>
    <x v="2"/>
    <x v="3"/>
    <x v="3"/>
    <n v="631"/>
    <n v="2202.19"/>
  </r>
  <r>
    <n v="10688"/>
    <x v="236"/>
    <x v="1"/>
    <n v="2.95"/>
    <s v="In-store "/>
    <x v="2"/>
    <x v="3"/>
    <x v="3"/>
    <n v="679"/>
    <n v="2003.0500000000002"/>
  </r>
  <r>
    <n v="10689"/>
    <x v="237"/>
    <x v="2"/>
    <n v="4.99"/>
    <s v="In-store "/>
    <x v="2"/>
    <x v="3"/>
    <x v="3"/>
    <n v="201"/>
    <n v="1002.99"/>
  </r>
  <r>
    <n v="10690"/>
    <x v="238"/>
    <x v="3"/>
    <n v="12.99"/>
    <s v="In-store "/>
    <x v="2"/>
    <x v="3"/>
    <x v="3"/>
    <n v="679"/>
    <n v="8820.2100000000009"/>
  </r>
  <r>
    <n v="10691"/>
    <x v="239"/>
    <x v="4"/>
    <n v="9.9499999999999993"/>
    <s v="In-store "/>
    <x v="2"/>
    <x v="3"/>
    <x v="3"/>
    <n v="262"/>
    <n v="2606.8999999999996"/>
  </r>
  <r>
    <n v="10692"/>
    <x v="240"/>
    <x v="0"/>
    <n v="3.49"/>
    <s v="In-store "/>
    <x v="2"/>
    <x v="3"/>
    <x v="3"/>
    <n v="631"/>
    <n v="2202.19"/>
  </r>
  <r>
    <n v="10693"/>
    <x v="241"/>
    <x v="1"/>
    <n v="2.95"/>
    <s v="In-store "/>
    <x v="2"/>
    <x v="3"/>
    <x v="3"/>
    <n v="678"/>
    <n v="2000.1000000000001"/>
  </r>
  <r>
    <n v="10694"/>
    <x v="242"/>
    <x v="2"/>
    <n v="4.99"/>
    <s v="In-store "/>
    <x v="2"/>
    <x v="3"/>
    <x v="3"/>
    <n v="201"/>
    <n v="1002.99"/>
  </r>
  <r>
    <n v="10695"/>
    <x v="243"/>
    <x v="3"/>
    <n v="12.99"/>
    <s v="In-store "/>
    <x v="2"/>
    <x v="3"/>
    <x v="3"/>
    <n v="693"/>
    <n v="9002.07"/>
  </r>
  <r>
    <n v="10696"/>
    <x v="244"/>
    <x v="4"/>
    <n v="9.9499999999999993"/>
    <s v="In-store "/>
    <x v="2"/>
    <x v="3"/>
    <x v="3"/>
    <n v="283"/>
    <n v="2815.85"/>
  </r>
  <r>
    <n v="10697"/>
    <x v="245"/>
    <x v="0"/>
    <n v="3.49"/>
    <s v="In-store "/>
    <x v="2"/>
    <x v="3"/>
    <x v="3"/>
    <n v="631"/>
    <n v="2202.19"/>
  </r>
  <r>
    <n v="10698"/>
    <x v="246"/>
    <x v="1"/>
    <n v="2.95"/>
    <s v="In-store "/>
    <x v="2"/>
    <x v="3"/>
    <x v="3"/>
    <n v="679"/>
    <n v="2003.0500000000002"/>
  </r>
  <r>
    <n v="10699"/>
    <x v="247"/>
    <x v="2"/>
    <n v="4.99"/>
    <s v="In-store "/>
    <x v="2"/>
    <x v="3"/>
    <x v="3"/>
    <n v="201"/>
    <n v="1002.99"/>
  </r>
  <r>
    <n v="10700"/>
    <x v="248"/>
    <x v="3"/>
    <n v="12.99"/>
    <s v="In-store "/>
    <x v="2"/>
    <x v="3"/>
    <x v="3"/>
    <n v="694"/>
    <n v="9015.06"/>
  </r>
  <r>
    <n v="10701"/>
    <x v="249"/>
    <x v="4"/>
    <n v="9.9499999999999993"/>
    <s v="In-store "/>
    <x v="2"/>
    <x v="3"/>
    <x v="3"/>
    <n v="283"/>
    <n v="2815.85"/>
  </r>
  <r>
    <n v="10702"/>
    <x v="250"/>
    <x v="0"/>
    <n v="3.49"/>
    <s v="In-store "/>
    <x v="2"/>
    <x v="3"/>
    <x v="3"/>
    <n v="632"/>
    <n v="2205.6800000000003"/>
  </r>
  <r>
    <n v="10703"/>
    <x v="251"/>
    <x v="1"/>
    <n v="2.95"/>
    <s v="In-store "/>
    <x v="0"/>
    <x v="3"/>
    <x v="3"/>
    <n v="679"/>
    <n v="2003.0500000000002"/>
  </r>
  <r>
    <n v="10704"/>
    <x v="252"/>
    <x v="2"/>
    <n v="4.99"/>
    <s v="Drive-thru "/>
    <x v="0"/>
    <x v="3"/>
    <x v="3"/>
    <n v="201"/>
    <n v="1002.99"/>
  </r>
  <r>
    <n v="10705"/>
    <x v="253"/>
    <x v="3"/>
    <n v="12.99"/>
    <s v="Drive-thru "/>
    <x v="0"/>
    <x v="3"/>
    <x v="3"/>
    <n v="724"/>
    <n v="9404.76"/>
  </r>
  <r>
    <n v="10706"/>
    <x v="254"/>
    <x v="4"/>
    <n v="9.9499999999999993"/>
    <s v="Drive-thru "/>
    <x v="0"/>
    <x v="3"/>
    <x v="3"/>
    <n v="302"/>
    <n v="3004.8999999999996"/>
  </r>
  <r>
    <n v="10707"/>
    <x v="255"/>
    <x v="0"/>
    <n v="3.49"/>
    <s v="Drive-thru "/>
    <x v="0"/>
    <x v="3"/>
    <x v="3"/>
    <n v="631"/>
    <n v="2202.19"/>
  </r>
  <r>
    <n v="10708"/>
    <x v="256"/>
    <x v="1"/>
    <n v="2.95"/>
    <s v="Drive-thru "/>
    <x v="0"/>
    <x v="3"/>
    <x v="3"/>
    <n v="678"/>
    <n v="2000.1000000000001"/>
  </r>
  <r>
    <n v="10709"/>
    <x v="257"/>
    <x v="2"/>
    <n v="4.99"/>
    <s v="Drive-thru "/>
    <x v="0"/>
    <x v="3"/>
    <x v="3"/>
    <n v="201"/>
    <n v="1002.99"/>
  </r>
  <r>
    <n v="10710"/>
    <x v="258"/>
    <x v="3"/>
    <n v="12.99"/>
    <s v="Drive-thru "/>
    <x v="0"/>
    <x v="3"/>
    <x v="3"/>
    <n v="755"/>
    <n v="9807.4500000000007"/>
  </r>
  <r>
    <n v="10711"/>
    <x v="259"/>
    <x v="4"/>
    <n v="9.9499999999999993"/>
    <s v="Drive-thru "/>
    <x v="0"/>
    <x v="3"/>
    <x v="3"/>
    <n v="282"/>
    <n v="2805.8999999999996"/>
  </r>
  <r>
    <n v="10712"/>
    <x v="260"/>
    <x v="0"/>
    <n v="3.49"/>
    <s v="Drive-thru "/>
    <x v="0"/>
    <x v="3"/>
    <x v="3"/>
    <n v="631"/>
    <n v="2202.19"/>
  </r>
  <r>
    <n v="10713"/>
    <x v="261"/>
    <x v="1"/>
    <n v="2.95"/>
    <s v="Drive-thru "/>
    <x v="0"/>
    <x v="3"/>
    <x v="3"/>
    <n v="679"/>
    <n v="2003.0500000000002"/>
  </r>
  <r>
    <n v="10714"/>
    <x v="262"/>
    <x v="2"/>
    <n v="5.24"/>
    <s v="Online "/>
    <x v="2"/>
    <x v="2"/>
    <x v="2"/>
    <n v="201"/>
    <n v="1053.24"/>
  </r>
  <r>
    <n v="10715"/>
    <x v="263"/>
    <x v="2"/>
    <n v="5.03"/>
    <s v="In-store "/>
    <x v="1"/>
    <x v="1"/>
    <x v="1"/>
    <n v="201"/>
    <n v="1011.0300000000001"/>
  </r>
  <r>
    <n v="10716"/>
    <x v="264"/>
    <x v="2"/>
    <n v="5.01"/>
    <s v="Online "/>
    <x v="1"/>
    <x v="0"/>
    <x v="0"/>
    <n v="202"/>
    <n v="1012.02"/>
  </r>
  <r>
    <n v="10717"/>
    <x v="265"/>
    <x v="2"/>
    <n v="4.78"/>
    <s v="Online "/>
    <x v="1"/>
    <x v="0"/>
    <x v="0"/>
    <n v="202"/>
    <n v="965.56000000000006"/>
  </r>
  <r>
    <n v="10718"/>
    <x v="266"/>
    <x v="2"/>
    <n v="4.67"/>
    <s v="Drive-thru "/>
    <x v="1"/>
    <x v="1"/>
    <x v="1"/>
    <n v="201"/>
    <n v="938.67"/>
  </r>
  <r>
    <n v="10719"/>
    <x v="267"/>
    <x v="3"/>
    <n v="13.82"/>
    <s v="Online "/>
    <x v="0"/>
    <x v="0"/>
    <x v="0"/>
    <n v="586"/>
    <n v="8098.52"/>
  </r>
  <r>
    <n v="10720"/>
    <x v="268"/>
    <x v="2"/>
    <n v="5.31"/>
    <s v="In-store "/>
    <x v="0"/>
    <x v="2"/>
    <x v="2"/>
    <n v="202"/>
    <n v="1072.6199999999999"/>
  </r>
  <r>
    <n v="10721"/>
    <x v="269"/>
    <x v="2"/>
    <n v="5.0999999999999996"/>
    <s v="Online "/>
    <x v="0"/>
    <x v="2"/>
    <x v="2"/>
    <n v="201"/>
    <n v="1025.0999999999999"/>
  </r>
  <r>
    <n v="10722"/>
    <x v="270"/>
    <x v="4"/>
    <n v="9.69"/>
    <s v="In-store "/>
    <x v="1"/>
    <x v="1"/>
    <x v="1"/>
    <n v="203"/>
    <n v="1967.07"/>
  </r>
  <r>
    <n v="10723"/>
    <x v="271"/>
    <x v="0"/>
    <n v="3.41"/>
    <s v="Online "/>
    <x v="0"/>
    <x v="0"/>
    <x v="0"/>
    <n v="632"/>
    <n v="2155.12"/>
  </r>
  <r>
    <n v="10724"/>
    <x v="272"/>
    <x v="1"/>
    <n v="3.06"/>
    <s v="Online "/>
    <x v="1"/>
    <x v="0"/>
    <x v="0"/>
    <n v="679"/>
    <n v="2077.7400000000002"/>
  </r>
  <r>
    <n v="10725"/>
    <x v="273"/>
    <x v="3"/>
    <n v="13.82"/>
    <s v="Online "/>
    <x v="1"/>
    <x v="0"/>
    <x v="0"/>
    <n v="540"/>
    <n v="7462.8"/>
  </r>
  <r>
    <n v="10726"/>
    <x v="274"/>
    <x v="1"/>
    <n v="3.13"/>
    <s v="Online "/>
    <x v="0"/>
    <x v="0"/>
    <x v="0"/>
    <n v="679"/>
    <n v="2125.27"/>
  </r>
  <r>
    <n v="10727"/>
    <x v="275"/>
    <x v="0"/>
    <n v="3.65"/>
    <s v="Online "/>
    <x v="1"/>
    <x v="4"/>
    <x v="4"/>
    <n v="574"/>
    <n v="2095.1"/>
  </r>
  <r>
    <n v="10728"/>
    <x v="276"/>
    <x v="4"/>
    <n v="10.18"/>
    <s v="Drive-thru "/>
    <x v="1"/>
    <x v="0"/>
    <x v="0"/>
    <n v="203"/>
    <n v="2066.54"/>
  </r>
  <r>
    <n v="10729"/>
    <x v="277"/>
    <x v="3"/>
    <n v="12.13"/>
    <s v="In-store "/>
    <x v="2"/>
    <x v="2"/>
    <x v="2"/>
    <n v="648"/>
    <n v="7860.2400000000007"/>
  </r>
  <r>
    <n v="10730"/>
    <x v="278"/>
    <x v="0"/>
    <n v="3.3"/>
    <s v="Online "/>
    <x v="1"/>
    <x v="0"/>
    <x v="0"/>
    <n v="632"/>
    <n v="2085.6"/>
  </r>
  <r>
    <n v="10731"/>
    <x v="279"/>
    <x v="0"/>
    <n v="3.71"/>
    <s v="Online "/>
    <x v="2"/>
    <x v="0"/>
    <x v="0"/>
    <n v="632"/>
    <n v="2344.7199999999998"/>
  </r>
  <r>
    <n v="10732"/>
    <x v="280"/>
    <x v="2"/>
    <n v="5.07"/>
    <s v="Online "/>
    <x v="1"/>
    <x v="4"/>
    <x v="4"/>
    <n v="202"/>
    <n v="1024.1400000000001"/>
  </r>
  <r>
    <n v="10733"/>
    <x v="281"/>
    <x v="3"/>
    <n v="11.97"/>
    <s v="In-store "/>
    <x v="1"/>
    <x v="3"/>
    <x v="3"/>
    <n v="571"/>
    <n v="6834.8700000000008"/>
  </r>
  <r>
    <n v="10734"/>
    <x v="282"/>
    <x v="0"/>
    <n v="3.27"/>
    <s v="In-store "/>
    <x v="2"/>
    <x v="2"/>
    <x v="2"/>
    <n v="631"/>
    <n v="2063.37"/>
  </r>
  <r>
    <n v="10735"/>
    <x v="283"/>
    <x v="0"/>
    <n v="3.58"/>
    <s v="Drive-thru "/>
    <x v="1"/>
    <x v="1"/>
    <x v="1"/>
    <n v="632"/>
    <n v="2262.56"/>
  </r>
  <r>
    <n v="10736"/>
    <x v="284"/>
    <x v="4"/>
    <n v="9.16"/>
    <s v="Drive-thru "/>
    <x v="0"/>
    <x v="3"/>
    <x v="3"/>
    <n v="303"/>
    <n v="2775.48"/>
  </r>
  <r>
    <n v="10737"/>
    <x v="285"/>
    <x v="4"/>
    <n v="9.41"/>
    <s v="Drive-thru "/>
    <x v="2"/>
    <x v="4"/>
    <x v="4"/>
    <n v="202"/>
    <n v="1900.82"/>
  </r>
  <r>
    <n v="10738"/>
    <x v="286"/>
    <x v="3"/>
    <n v="13.09"/>
    <s v="Online "/>
    <x v="1"/>
    <x v="0"/>
    <x v="0"/>
    <n v="494"/>
    <n v="6466.46"/>
  </r>
  <r>
    <n v="10739"/>
    <x v="287"/>
    <x v="4"/>
    <n v="10.26"/>
    <s v="In-store "/>
    <x v="2"/>
    <x v="3"/>
    <x v="3"/>
    <n v="283"/>
    <n v="2903.58"/>
  </r>
  <r>
    <n v="10740"/>
    <x v="288"/>
    <x v="2"/>
    <n v="5.1100000000000003"/>
    <s v="In-store "/>
    <x v="2"/>
    <x v="3"/>
    <x v="3"/>
    <n v="202"/>
    <n v="1032.22"/>
  </r>
  <r>
    <n v="10741"/>
    <x v="289"/>
    <x v="0"/>
    <n v="3.34"/>
    <s v="Drive-thru "/>
    <x v="2"/>
    <x v="2"/>
    <x v="2"/>
    <n v="689"/>
    <n v="2301.2599999999998"/>
  </r>
  <r>
    <n v="10742"/>
    <x v="290"/>
    <x v="4"/>
    <n v="10.29"/>
    <s v="Online "/>
    <x v="1"/>
    <x v="0"/>
    <x v="0"/>
    <n v="203"/>
    <n v="2088.87"/>
  </r>
  <r>
    <n v="10743"/>
    <x v="291"/>
    <x v="1"/>
    <n v="2.83"/>
    <s v="Online "/>
    <x v="1"/>
    <x v="4"/>
    <x v="4"/>
    <n v="679"/>
    <n v="1921.57"/>
  </r>
  <r>
    <n v="10744"/>
    <x v="292"/>
    <x v="1"/>
    <n v="2.87"/>
    <s v="Drive-thru "/>
    <x v="1"/>
    <x v="0"/>
    <x v="0"/>
    <n v="747"/>
    <n v="2143.89"/>
  </r>
  <r>
    <n v="10745"/>
    <x v="293"/>
    <x v="3"/>
    <n v="13.5"/>
    <s v="In-store "/>
    <x v="2"/>
    <x v="3"/>
    <x v="3"/>
    <n v="694"/>
    <n v="9369"/>
  </r>
  <r>
    <n v="10746"/>
    <x v="294"/>
    <x v="0"/>
    <n v="3.57"/>
    <s v="Drive-thru "/>
    <x v="2"/>
    <x v="4"/>
    <x v="4"/>
    <n v="689"/>
    <n v="2459.73"/>
  </r>
  <r>
    <n v="10747"/>
    <x v="295"/>
    <x v="3"/>
    <n v="13.72"/>
    <s v="Online "/>
    <x v="2"/>
    <x v="2"/>
    <x v="2"/>
    <n v="571"/>
    <n v="7834.1200000000008"/>
  </r>
  <r>
    <n v="10748"/>
    <x v="296"/>
    <x v="3"/>
    <n v="13.32"/>
    <s v="Online "/>
    <x v="1"/>
    <x v="4"/>
    <x v="4"/>
    <n v="525"/>
    <n v="6993"/>
  </r>
  <r>
    <n v="10749"/>
    <x v="297"/>
    <x v="1"/>
    <n v="2.98"/>
    <s v="In-store "/>
    <x v="2"/>
    <x v="2"/>
    <x v="2"/>
    <n v="679"/>
    <n v="2023.42"/>
  </r>
  <r>
    <n v="10750"/>
    <x v="298"/>
    <x v="3"/>
    <n v="12.15"/>
    <s v="Drive-thru "/>
    <x v="1"/>
    <x v="0"/>
    <x v="0"/>
    <n v="463"/>
    <n v="5625.45"/>
  </r>
  <r>
    <n v="10751"/>
    <x v="299"/>
    <x v="1"/>
    <n v="2.89"/>
    <s v="In-store "/>
    <x v="1"/>
    <x v="4"/>
    <x v="4"/>
    <n v="679"/>
    <n v="1962.3100000000002"/>
  </r>
  <r>
    <n v="10513"/>
    <x v="300"/>
    <x v="1"/>
    <n v="2.95"/>
    <s v="Drive-thru "/>
    <x v="2"/>
    <x v="2"/>
    <x v="2"/>
    <n v="679"/>
    <n v="2003.0500000000002"/>
  </r>
  <r>
    <n v="10671"/>
    <x v="301"/>
    <x v="4"/>
    <n v="9.9499999999999993"/>
    <s v="In-store "/>
    <x v="2"/>
    <x v="2"/>
    <x v="2"/>
    <n v="222"/>
    <n v="2208.8999999999996"/>
  </r>
  <r>
    <n v="10507"/>
    <x v="302"/>
    <x v="0"/>
    <n v="3.49"/>
    <s v="Drive-thru "/>
    <x v="1"/>
    <x v="1"/>
    <x v="1"/>
    <n v="689"/>
    <n v="2404.61"/>
  </r>
  <r>
    <n v="10696"/>
    <x v="303"/>
    <x v="4"/>
    <n v="9.9499999999999993"/>
    <s v="In-store "/>
    <x v="2"/>
    <x v="3"/>
    <x v="3"/>
    <n v="283"/>
    <n v="2815.85"/>
  </r>
  <r>
    <n v="10547"/>
    <x v="304"/>
    <x v="0"/>
    <n v="3.49"/>
    <s v="Drive-thru "/>
    <x v="1"/>
    <x v="0"/>
    <x v="0"/>
    <n v="631"/>
    <n v="2202.19"/>
  </r>
  <r>
    <n v="10582"/>
    <x v="305"/>
    <x v="0"/>
    <n v="3.49"/>
    <s v="Online "/>
    <x v="1"/>
    <x v="0"/>
    <x v="0"/>
    <n v="631"/>
    <n v="2202.19"/>
  </r>
  <r>
    <n v="10736"/>
    <x v="306"/>
    <x v="4"/>
    <n v="9.16"/>
    <s v="Drive-thru "/>
    <x v="0"/>
    <x v="3"/>
    <x v="3"/>
    <n v="303"/>
    <n v="2775.48"/>
  </r>
  <r>
    <n v="10606"/>
    <x v="307"/>
    <x v="4"/>
    <n v="9.9499999999999993"/>
    <s v="Online "/>
    <x v="2"/>
    <x v="0"/>
    <x v="0"/>
    <n v="202"/>
    <n v="2009.8999999999999"/>
  </r>
  <r>
    <n v="10642"/>
    <x v="308"/>
    <x v="0"/>
    <n v="3.49"/>
    <s v="Online "/>
    <x v="2"/>
    <x v="2"/>
    <x v="2"/>
    <n v="631"/>
    <n v="2202.19"/>
  </r>
  <r>
    <n v="10673"/>
    <x v="309"/>
    <x v="1"/>
    <n v="2.95"/>
    <s v="In-store "/>
    <x v="2"/>
    <x v="2"/>
    <x v="2"/>
    <n v="747"/>
    <n v="2203.65"/>
  </r>
  <r>
    <n v="10629"/>
    <x v="310"/>
    <x v="2"/>
    <n v="4.99"/>
    <s v="Online "/>
    <x v="0"/>
    <x v="2"/>
    <x v="2"/>
    <n v="202"/>
    <n v="1007.98"/>
  </r>
  <r>
    <n v="10632"/>
    <x v="311"/>
    <x v="0"/>
    <n v="3.49"/>
    <s v="Online "/>
    <x v="0"/>
    <x v="2"/>
    <x v="2"/>
    <n v="631"/>
    <n v="2202.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9B50EB-4A67-4BD8-BDE4-31B8300CD9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2">
    <pivotField showAll="0"/>
    <pivotField numFmtId="16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axis="axisRow" showAll="0">
      <items count="6">
        <item x="1"/>
        <item x="3"/>
        <item x="4"/>
        <item x="0"/>
        <item x="2"/>
        <item t="default"/>
      </items>
    </pivotField>
    <pivotField showAll="0"/>
    <pivotField showAll="0"/>
    <pivotField showAll="0"/>
    <pivotField showAll="0">
      <items count="6">
        <item x="3"/>
        <item x="2"/>
        <item x="0"/>
        <item x="1"/>
        <item x="4"/>
        <item t="default"/>
      </items>
    </pivotField>
    <pivotField showAll="0">
      <items count="6">
        <item x="2"/>
        <item x="1"/>
        <item x="4"/>
        <item x="0"/>
        <item x="3"/>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i>
    <i>
      <x v="1"/>
    </i>
    <i>
      <x v="2"/>
    </i>
    <i>
      <x v="3"/>
    </i>
    <i>
      <x v="4"/>
    </i>
    <i t="grand">
      <x/>
    </i>
  </rowItems>
  <colItems count="1">
    <i/>
  </colItems>
  <dataFields count="1">
    <dataField name="Sum of Revenue"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33C3A-F52A-4A61-8ABC-74C010F42A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2">
    <pivotField showAll="0"/>
    <pivotField numFmtId="16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axis="axisRow" showAll="0" sortType="a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3"/>
        <item x="2"/>
        <item x="0"/>
        <item x="1"/>
        <item x="4"/>
        <item t="default"/>
      </items>
    </pivotField>
    <pivotField showAll="0">
      <items count="6">
        <item x="2"/>
        <item x="1"/>
        <item x="4"/>
        <item x="0"/>
        <item x="3"/>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6">
    <i>
      <x v="4"/>
    </i>
    <i>
      <x v="2"/>
    </i>
    <i>
      <x v="1"/>
    </i>
    <i>
      <x v="3"/>
    </i>
    <i>
      <x/>
    </i>
    <i t="grand">
      <x/>
    </i>
  </rowItems>
  <colItems count="1">
    <i/>
  </colItems>
  <dataFields count="1">
    <dataField name="Sum of Quantity" fld="8" baseField="0" baseItem="0"/>
  </dataFields>
  <chartFormats count="2">
    <chartFormat chart="2"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AAAED2-76B1-4C25-8A0E-E35108FFA4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2">
    <pivotField showAll="0"/>
    <pivotField numFmtId="16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items count="6">
        <item x="1"/>
        <item x="3"/>
        <item x="4"/>
        <item x="0"/>
        <item x="2"/>
        <item t="default"/>
      </items>
    </pivotField>
    <pivotField showAll="0"/>
    <pivotField showAll="0"/>
    <pivotField showAll="0"/>
    <pivotField showAll="0">
      <items count="6">
        <item x="3"/>
        <item x="2"/>
        <item x="0"/>
        <item x="1"/>
        <item x="4"/>
        <item t="default"/>
      </items>
    </pivotField>
    <pivotField showAll="0">
      <items count="6">
        <item x="2"/>
        <item x="1"/>
        <item x="4"/>
        <item x="0"/>
        <item x="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6">
    <i>
      <x v="1"/>
    </i>
    <i>
      <x v="2"/>
    </i>
    <i>
      <x v="3"/>
    </i>
    <i>
      <x v="4"/>
    </i>
    <i>
      <x v="5"/>
    </i>
    <i t="grand">
      <x/>
    </i>
  </rowItems>
  <colItems count="1">
    <i/>
  </colItems>
  <dataFields count="1">
    <dataField name="Sum of Revenue" fld="9" baseField="0" baseItem="0"/>
  </dataFields>
  <chartFormats count="3">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B71907-8A18-4098-8EBE-16582BD4C2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2">
    <pivotField showAll="0"/>
    <pivotField numFmtId="16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items count="6">
        <item x="1"/>
        <item x="3"/>
        <item x="4"/>
        <item x="0"/>
        <item x="2"/>
        <item t="default"/>
      </items>
    </pivotField>
    <pivotField showAll="0"/>
    <pivotField showAll="0"/>
    <pivotField axis="axisRow" showAll="0">
      <items count="4">
        <item x="2"/>
        <item x="1"/>
        <item x="0"/>
        <item t="default"/>
      </items>
    </pivotField>
    <pivotField showAll="0">
      <items count="6">
        <item x="3"/>
        <item x="2"/>
        <item x="0"/>
        <item x="1"/>
        <item x="4"/>
        <item t="default"/>
      </items>
    </pivotField>
    <pivotField showAll="0">
      <items count="6">
        <item x="2"/>
        <item x="1"/>
        <item x="4"/>
        <item x="0"/>
        <item x="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4">
    <i>
      <x/>
    </i>
    <i>
      <x v="1"/>
    </i>
    <i>
      <x v="2"/>
    </i>
    <i t="grand">
      <x/>
    </i>
  </rowItems>
  <colItems count="1">
    <i/>
  </colItems>
  <dataFields count="1">
    <dataField name="Sum of Revenue" fld="9" showDataAs="percentOfTotal" baseField="0" baseItem="0" numFmtId="10"/>
  </dataFields>
  <chartFormats count="10">
    <chartFormat chart="4"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5" count="1" selected="0">
            <x v="0"/>
          </reference>
        </references>
      </pivotArea>
    </chartFormat>
    <chartFormat chart="11" format="7">
      <pivotArea type="data" outline="0" fieldPosition="0">
        <references count="2">
          <reference field="4294967294" count="1" selected="0">
            <x v="0"/>
          </reference>
          <reference field="5" count="1" selected="0">
            <x v="1"/>
          </reference>
        </references>
      </pivotArea>
    </chartFormat>
    <chartFormat chart="11" format="8">
      <pivotArea type="data" outline="0" fieldPosition="0">
        <references count="2">
          <reference field="4294967294" count="1" selected="0">
            <x v="0"/>
          </reference>
          <reference field="5" count="1" selected="0">
            <x v="2"/>
          </reference>
        </references>
      </pivotArea>
    </chartFormat>
    <chartFormat chart="8" format="1">
      <pivotArea type="data" outline="0" fieldPosition="0">
        <references count="2">
          <reference field="4294967294" count="1" selected="0">
            <x v="0"/>
          </reference>
          <reference field="5" count="1" selected="0">
            <x v="0"/>
          </reference>
        </references>
      </pivotArea>
    </chartFormat>
    <chartFormat chart="8" format="2">
      <pivotArea type="data" outline="0" fieldPosition="0">
        <references count="2">
          <reference field="4294967294" count="1" selected="0">
            <x v="0"/>
          </reference>
          <reference field="5" count="1" selected="0">
            <x v="1"/>
          </reference>
        </references>
      </pivotArea>
    </chartFormat>
    <chartFormat chart="8"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CED18B-2467-4F8A-BDEB-62548EA7220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E4" firstHeaderRow="1" firstDataRow="1" firstDataCol="0"/>
  <pivotFields count="12">
    <pivotField dataField="1" showAll="0"/>
    <pivotField numFmtId="16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items count="6">
        <item x="1"/>
        <item x="3"/>
        <item x="4"/>
        <item x="0"/>
        <item x="2"/>
        <item t="default"/>
      </items>
    </pivotField>
    <pivotField showAll="0"/>
    <pivotField showAll="0"/>
    <pivotField showAll="0">
      <items count="4">
        <item x="2"/>
        <item x="1"/>
        <item x="0"/>
        <item t="default"/>
      </items>
    </pivotField>
    <pivotField showAll="0">
      <items count="6">
        <item x="3"/>
        <item x="2"/>
        <item x="0"/>
        <item x="1"/>
        <item x="4"/>
        <item t="default"/>
      </items>
    </pivotField>
    <pivotField showAll="0">
      <items count="6">
        <item x="2"/>
        <item x="1"/>
        <item x="4"/>
        <item x="0"/>
        <item x="3"/>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7E5F21-55EE-4092-8384-1271F23D3EB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3:C4" firstHeaderRow="1" firstDataRow="1" firstDataCol="0"/>
  <pivotFields count="12">
    <pivotField showAll="0"/>
    <pivotField numFmtId="16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items count="6">
        <item x="1"/>
        <item x="3"/>
        <item x="4"/>
        <item x="0"/>
        <item x="2"/>
        <item t="default"/>
      </items>
    </pivotField>
    <pivotField showAll="0"/>
    <pivotField showAll="0"/>
    <pivotField showAll="0">
      <items count="4">
        <item x="2"/>
        <item x="1"/>
        <item x="0"/>
        <item t="default"/>
      </items>
    </pivotField>
    <pivotField showAll="0">
      <items count="6">
        <item x="3"/>
        <item x="2"/>
        <item x="0"/>
        <item x="1"/>
        <item x="4"/>
        <item t="default"/>
      </items>
    </pivotField>
    <pivotField showAll="0">
      <items count="6">
        <item x="2"/>
        <item x="1"/>
        <item x="4"/>
        <item x="0"/>
        <item x="3"/>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Quantity"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52044A9-EDBC-466B-ABD4-6865E3427FB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A4" firstHeaderRow="1" firstDataRow="1" firstDataCol="0"/>
  <pivotFields count="12">
    <pivotField showAll="0"/>
    <pivotField numFmtId="16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items count="6">
        <item x="1"/>
        <item x="3"/>
        <item x="4"/>
        <item x="0"/>
        <item x="2"/>
        <item t="default"/>
      </items>
    </pivotField>
    <pivotField showAll="0"/>
    <pivotField showAll="0"/>
    <pivotField showAll="0">
      <items count="4">
        <item x="2"/>
        <item x="1"/>
        <item x="0"/>
        <item t="default"/>
      </items>
    </pivotField>
    <pivotField showAll="0">
      <items count="6">
        <item x="3"/>
        <item x="2"/>
        <item x="0"/>
        <item x="1"/>
        <item x="4"/>
        <item t="default"/>
      </items>
    </pivotField>
    <pivotField showAll="0">
      <items count="6">
        <item x="2"/>
        <item x="1"/>
        <item x="4"/>
        <item x="0"/>
        <item x="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Sum of Revenue"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12C473B-691D-4078-8624-7CD68E56E0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5" firstHeaderRow="1" firstDataRow="1" firstDataCol="1"/>
  <pivotFields count="12">
    <pivotField showAll="0"/>
    <pivotField numFmtId="164" showAll="0">
      <items count="3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t="default"/>
      </items>
    </pivotField>
    <pivotField showAll="0">
      <items count="6">
        <item x="1"/>
        <item x="3"/>
        <item x="4"/>
        <item x="0"/>
        <item x="2"/>
        <item t="default"/>
      </items>
    </pivotField>
    <pivotField showAll="0"/>
    <pivotField showAll="0"/>
    <pivotField showAll="0">
      <items count="4">
        <item x="2"/>
        <item x="1"/>
        <item x="0"/>
        <item t="default"/>
      </items>
    </pivotField>
    <pivotField showAll="0">
      <items count="6">
        <item x="3"/>
        <item x="2"/>
        <item x="0"/>
        <item x="1"/>
        <item x="4"/>
        <item t="default"/>
      </items>
    </pivotField>
    <pivotField showAll="0">
      <items count="6">
        <item x="2"/>
        <item x="1"/>
        <item x="4"/>
        <item x="0"/>
        <item x="3"/>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measureFilter="1">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2">
    <i>
      <x v="1"/>
    </i>
    <i t="grand">
      <x/>
    </i>
  </rowItems>
  <colItems count="1">
    <i/>
  </colItems>
  <dataFields count="1">
    <dataField name="Sum of Revenue" fld="9" baseField="0" baseItem="0"/>
  </dataFields>
  <chartFormats count="1">
    <chartFormat chart="1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09DD4196-72AD-431C-B401-0067BF119FDF}" sourceName="Manager">
  <pivotTables>
    <pivotTable tabId="4" name="PivotTable1"/>
    <pivotTable tabId="7" name="PivotTable1"/>
    <pivotTable tabId="7" name="PivotTable2"/>
    <pivotTable tabId="7" name="PivotTable3"/>
    <pivotTable tabId="7" name="PivotTable4"/>
    <pivotTable tabId="6" name="PivotTable1"/>
    <pivotTable tabId="3" name="PivotTable1"/>
    <pivotTable tabId="5" name="PivotTable1"/>
  </pivotTables>
  <data>
    <tabular pivotCacheId="669608437">
      <items count="5">
        <i x="2" s="1"/>
        <i x="1"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F32DDDF-8561-4A31-881B-1ECE2722FC25}" sourceName="City">
  <pivotTables>
    <pivotTable tabId="4" name="PivotTable1"/>
    <pivotTable tabId="7" name="PivotTable1"/>
    <pivotTable tabId="7" name="PivotTable2"/>
    <pivotTable tabId="7" name="PivotTable3"/>
    <pivotTable tabId="7" name="PivotTable4"/>
    <pivotTable tabId="6" name="PivotTable1"/>
    <pivotTable tabId="3" name="PivotTable1"/>
    <pivotTable tabId="5" name="PivotTable1"/>
  </pivotTables>
  <data>
    <tabular pivotCacheId="669608437">
      <items count="5">
        <i x="3"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ager" xr10:uid="{4A816818-8F9F-41A4-8681-DFC22C68A789}" cache="Slicer_Manager" caption="Manager" style="SlicerStyleLight5" rowHeight="234950"/>
  <slicer name="City" xr10:uid="{8AF09C35-3495-452A-BE72-B60AFC219190}" cache="Slicer_City" caption="City"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2D942C-6AC4-4E39-8C7E-D0B19CF8F274}" name="Table1" displayName="Table1" ref="A1:J313" totalsRowShown="0" headerRowDxfId="2">
  <autoFilter ref="A1:J313" xr:uid="{1A2D942C-6AC4-4E39-8C7E-D0B19CF8F274}"/>
  <tableColumns count="10">
    <tableColumn id="1" xr3:uid="{8138C557-D943-4AEC-9369-B0FF5A28036B}" name="Order ID"/>
    <tableColumn id="2" xr3:uid="{EDBF2FFB-B72F-4132-94FF-984305E12ACA}" name="Date" dataDxfId="1"/>
    <tableColumn id="3" xr3:uid="{49CEC2EE-D066-4649-B079-089CE96DBFA2}" name="Product"/>
    <tableColumn id="4" xr3:uid="{25D6BEC1-1404-4399-968B-6B75E547E79C}" name="Price"/>
    <tableColumn id="5" xr3:uid="{452682EB-E466-4CA3-8945-2BE3E8388CA8}" name="Purchase Type"/>
    <tableColumn id="6" xr3:uid="{7E719197-AEC3-490F-BF18-6357EA3E1D53}" name="Payment Method"/>
    <tableColumn id="7" xr3:uid="{AB14206B-7B1C-4B82-8359-E962981B5CCB}" name="City"/>
    <tableColumn id="8" xr3:uid="{9A918A77-3767-47C5-AE76-A914B314E4F0}" name="Manager"/>
    <tableColumn id="9" xr3:uid="{986633FD-494C-4899-8951-2CB8531E4BEB}" name="Quantity"/>
    <tableColumn id="10" xr3:uid="{65F72013-9C09-44C0-853E-C3DA248F34F6}" name="Revenue" dataDxfId="0">
      <calculatedColumnFormula>Table1[[#This Row],[Price]]*Table1[[#This Row],[Quantity]]</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13"/>
  <sheetViews>
    <sheetView workbookViewId="0">
      <selection activeCell="M9" sqref="M9"/>
    </sheetView>
  </sheetViews>
  <sheetFormatPr defaultRowHeight="14.4" x14ac:dyDescent="0.3"/>
  <cols>
    <col min="1" max="1" width="12" customWidth="1"/>
    <col min="2" max="2" width="18.109375" bestFit="1" customWidth="1"/>
    <col min="3" max="3" width="22" customWidth="1"/>
    <col min="4" max="5" width="14" customWidth="1"/>
    <col min="6" max="6" width="18" customWidth="1"/>
    <col min="7" max="7" width="20" customWidth="1"/>
    <col min="8" max="8" width="24" customWidth="1"/>
    <col min="9" max="9" width="16" customWidth="1"/>
  </cols>
  <sheetData>
    <row r="1" spans="1:9" x14ac:dyDescent="0.3">
      <c r="A1" s="2" t="s">
        <v>0</v>
      </c>
      <c r="B1" s="2" t="s">
        <v>1</v>
      </c>
      <c r="C1" s="2" t="s">
        <v>2</v>
      </c>
      <c r="D1" s="2" t="s">
        <v>3</v>
      </c>
      <c r="E1" s="2" t="s">
        <v>4</v>
      </c>
      <c r="F1" s="2" t="s">
        <v>5</v>
      </c>
      <c r="G1" s="2" t="s">
        <v>6</v>
      </c>
      <c r="H1" s="2" t="s">
        <v>7</v>
      </c>
      <c r="I1" s="2" t="s">
        <v>8</v>
      </c>
    </row>
    <row r="2" spans="1:9" x14ac:dyDescent="0.3">
      <c r="A2">
        <v>10452</v>
      </c>
      <c r="B2" s="1">
        <v>46024</v>
      </c>
      <c r="C2" t="s">
        <v>9</v>
      </c>
      <c r="D2" t="s">
        <v>10</v>
      </c>
      <c r="E2">
        <v>573.82000000000005</v>
      </c>
      <c r="F2" t="s">
        <v>11</v>
      </c>
      <c r="G2" t="s">
        <v>12</v>
      </c>
      <c r="H2" t="s">
        <v>13</v>
      </c>
      <c r="I2" t="s">
        <v>14</v>
      </c>
    </row>
    <row r="3" spans="1:9" x14ac:dyDescent="0.3">
      <c r="A3">
        <v>10453</v>
      </c>
      <c r="B3" s="1">
        <v>46024.479099675933</v>
      </c>
      <c r="C3" t="s">
        <v>15</v>
      </c>
      <c r="D3" t="s">
        <v>16</v>
      </c>
      <c r="E3">
        <v>746.13</v>
      </c>
      <c r="F3" t="s">
        <v>11</v>
      </c>
      <c r="G3" t="s">
        <v>12</v>
      </c>
      <c r="H3" t="s">
        <v>17</v>
      </c>
      <c r="I3" t="s">
        <v>18</v>
      </c>
    </row>
    <row r="4" spans="1:9" x14ac:dyDescent="0.3">
      <c r="A4">
        <v>10454</v>
      </c>
      <c r="B4" s="1">
        <v>46024.958199351851</v>
      </c>
      <c r="C4" t="s">
        <v>19</v>
      </c>
      <c r="D4" t="s">
        <v>20</v>
      </c>
      <c r="E4">
        <v>200.88</v>
      </c>
      <c r="F4" t="s">
        <v>21</v>
      </c>
      <c r="G4" t="s">
        <v>12</v>
      </c>
      <c r="H4" t="s">
        <v>22</v>
      </c>
      <c r="I4" t="s">
        <v>23</v>
      </c>
    </row>
    <row r="5" spans="1:9" x14ac:dyDescent="0.3">
      <c r="A5">
        <v>10455</v>
      </c>
      <c r="B5" s="1">
        <v>46025.437299039353</v>
      </c>
      <c r="C5" t="s">
        <v>24</v>
      </c>
      <c r="D5" t="s">
        <v>25</v>
      </c>
      <c r="E5">
        <v>570.41999999999996</v>
      </c>
      <c r="F5" t="s">
        <v>21</v>
      </c>
      <c r="G5" t="s">
        <v>26</v>
      </c>
      <c r="H5" t="s">
        <v>27</v>
      </c>
      <c r="I5" t="s">
        <v>28</v>
      </c>
    </row>
    <row r="6" spans="1:9" x14ac:dyDescent="0.3">
      <c r="A6">
        <v>10456</v>
      </c>
      <c r="B6" s="1">
        <v>46025.916398715279</v>
      </c>
      <c r="C6" t="s">
        <v>29</v>
      </c>
      <c r="D6" t="s">
        <v>30</v>
      </c>
      <c r="E6">
        <v>201.26</v>
      </c>
      <c r="F6" t="s">
        <v>21</v>
      </c>
      <c r="G6" t="s">
        <v>26</v>
      </c>
      <c r="H6" t="s">
        <v>31</v>
      </c>
      <c r="I6" t="s">
        <v>28</v>
      </c>
    </row>
    <row r="7" spans="1:9" x14ac:dyDescent="0.3">
      <c r="A7">
        <v>10457</v>
      </c>
      <c r="B7" s="1">
        <v>46026.395498391197</v>
      </c>
      <c r="C7" t="s">
        <v>9</v>
      </c>
      <c r="D7" t="s">
        <v>10</v>
      </c>
      <c r="E7">
        <v>573.54999999999995</v>
      </c>
      <c r="F7" t="s">
        <v>21</v>
      </c>
      <c r="G7" t="s">
        <v>26</v>
      </c>
      <c r="H7" t="s">
        <v>32</v>
      </c>
      <c r="I7" t="s">
        <v>33</v>
      </c>
    </row>
    <row r="8" spans="1:9" x14ac:dyDescent="0.3">
      <c r="A8">
        <v>10457</v>
      </c>
      <c r="B8" s="1">
        <v>46026.87459806713</v>
      </c>
      <c r="C8" t="s">
        <v>9</v>
      </c>
      <c r="D8" t="s">
        <v>10</v>
      </c>
      <c r="E8">
        <v>573.54999999999995</v>
      </c>
      <c r="F8" t="s">
        <v>21</v>
      </c>
      <c r="G8" t="s">
        <v>26</v>
      </c>
      <c r="H8" t="s">
        <v>34</v>
      </c>
      <c r="I8" t="s">
        <v>33</v>
      </c>
    </row>
    <row r="9" spans="1:9" x14ac:dyDescent="0.3">
      <c r="A9">
        <v>10459</v>
      </c>
      <c r="B9" s="1">
        <v>46027.353697754632</v>
      </c>
      <c r="C9" t="s">
        <v>19</v>
      </c>
      <c r="D9" t="s">
        <v>20</v>
      </c>
      <c r="E9">
        <v>201.15</v>
      </c>
      <c r="F9" t="s">
        <v>21</v>
      </c>
      <c r="G9" t="s">
        <v>26</v>
      </c>
      <c r="H9" t="s">
        <v>27</v>
      </c>
      <c r="I9" t="s">
        <v>28</v>
      </c>
    </row>
    <row r="10" spans="1:9" x14ac:dyDescent="0.3">
      <c r="A10">
        <v>10460</v>
      </c>
      <c r="B10" s="1">
        <v>46027.832797430558</v>
      </c>
      <c r="C10" t="s">
        <v>24</v>
      </c>
      <c r="D10" t="s">
        <v>25</v>
      </c>
      <c r="E10">
        <v>554.39</v>
      </c>
      <c r="F10" t="s">
        <v>21</v>
      </c>
      <c r="G10" t="s">
        <v>26</v>
      </c>
      <c r="H10" t="s">
        <v>35</v>
      </c>
      <c r="I10" t="s">
        <v>33</v>
      </c>
    </row>
    <row r="11" spans="1:9" x14ac:dyDescent="0.3">
      <c r="A11">
        <v>10461</v>
      </c>
      <c r="B11" s="1">
        <v>46028.311897106483</v>
      </c>
      <c r="C11" t="s">
        <v>29</v>
      </c>
      <c r="D11" t="s">
        <v>30</v>
      </c>
      <c r="E11">
        <v>201.26</v>
      </c>
      <c r="F11" t="s">
        <v>21</v>
      </c>
      <c r="G11" t="s">
        <v>26</v>
      </c>
      <c r="H11" t="s">
        <v>36</v>
      </c>
      <c r="I11" t="s">
        <v>33</v>
      </c>
    </row>
    <row r="12" spans="1:9" x14ac:dyDescent="0.3">
      <c r="A12">
        <v>10462</v>
      </c>
      <c r="B12" s="1">
        <v>46028.790996782409</v>
      </c>
      <c r="C12" t="s">
        <v>9</v>
      </c>
      <c r="D12" t="s">
        <v>10</v>
      </c>
      <c r="E12">
        <v>573.82000000000005</v>
      </c>
      <c r="F12" t="s">
        <v>21</v>
      </c>
      <c r="G12" t="s">
        <v>26</v>
      </c>
      <c r="H12" t="s">
        <v>37</v>
      </c>
      <c r="I12" t="s">
        <v>33</v>
      </c>
    </row>
    <row r="13" spans="1:9" x14ac:dyDescent="0.3">
      <c r="A13">
        <v>10463</v>
      </c>
      <c r="B13" s="1">
        <v>46029.270096458327</v>
      </c>
      <c r="C13" t="s">
        <v>15</v>
      </c>
      <c r="D13" t="s">
        <v>16</v>
      </c>
      <c r="E13">
        <v>678.22</v>
      </c>
      <c r="F13" t="s">
        <v>21</v>
      </c>
      <c r="G13" t="s">
        <v>26</v>
      </c>
      <c r="H13" t="s">
        <v>38</v>
      </c>
      <c r="I13" t="s">
        <v>33</v>
      </c>
    </row>
    <row r="14" spans="1:9" x14ac:dyDescent="0.3">
      <c r="A14">
        <v>10464</v>
      </c>
      <c r="B14" s="1">
        <v>46029.749196145844</v>
      </c>
      <c r="C14" t="s">
        <v>19</v>
      </c>
      <c r="D14" t="s">
        <v>20</v>
      </c>
      <c r="E14">
        <v>200.65</v>
      </c>
      <c r="F14" t="s">
        <v>21</v>
      </c>
      <c r="G14" t="s">
        <v>26</v>
      </c>
      <c r="H14" t="s">
        <v>39</v>
      </c>
      <c r="I14" t="s">
        <v>33</v>
      </c>
    </row>
    <row r="15" spans="1:9" x14ac:dyDescent="0.3">
      <c r="A15">
        <v>10465</v>
      </c>
      <c r="B15" s="1">
        <v>46030.228295821762</v>
      </c>
      <c r="C15" t="s">
        <v>24</v>
      </c>
      <c r="D15" t="s">
        <v>25</v>
      </c>
      <c r="E15">
        <v>554.75</v>
      </c>
      <c r="F15" t="s">
        <v>21</v>
      </c>
      <c r="G15" t="s">
        <v>26</v>
      </c>
      <c r="H15" t="s">
        <v>17</v>
      </c>
      <c r="I15" t="s">
        <v>18</v>
      </c>
    </row>
    <row r="16" spans="1:9" x14ac:dyDescent="0.3">
      <c r="A16">
        <v>10466</v>
      </c>
      <c r="B16" s="1">
        <v>46030.707395497688</v>
      </c>
      <c r="C16" t="s">
        <v>29</v>
      </c>
      <c r="D16" t="s">
        <v>30</v>
      </c>
      <c r="E16">
        <v>201.38</v>
      </c>
      <c r="F16" t="s">
        <v>21</v>
      </c>
      <c r="G16" t="s">
        <v>26</v>
      </c>
      <c r="H16" t="s">
        <v>40</v>
      </c>
      <c r="I16" t="s">
        <v>18</v>
      </c>
    </row>
    <row r="17" spans="1:9" x14ac:dyDescent="0.3">
      <c r="A17">
        <v>10467</v>
      </c>
      <c r="B17" s="1">
        <v>46031.186495173613</v>
      </c>
      <c r="C17" t="s">
        <v>9</v>
      </c>
      <c r="D17" t="s">
        <v>10</v>
      </c>
      <c r="E17">
        <v>573.32000000000005</v>
      </c>
      <c r="F17" t="s">
        <v>21</v>
      </c>
      <c r="G17" t="s">
        <v>26</v>
      </c>
      <c r="H17" t="s">
        <v>41</v>
      </c>
      <c r="I17" t="s">
        <v>18</v>
      </c>
    </row>
    <row r="18" spans="1:9" x14ac:dyDescent="0.3">
      <c r="A18">
        <v>10468</v>
      </c>
      <c r="B18" s="1">
        <v>46031.665594849539</v>
      </c>
      <c r="C18" t="s">
        <v>15</v>
      </c>
      <c r="D18" t="s">
        <v>16</v>
      </c>
      <c r="E18">
        <v>678.6</v>
      </c>
      <c r="F18" t="s">
        <v>21</v>
      </c>
      <c r="G18" t="s">
        <v>26</v>
      </c>
      <c r="H18" t="s">
        <v>42</v>
      </c>
      <c r="I18" t="s">
        <v>18</v>
      </c>
    </row>
    <row r="19" spans="1:9" x14ac:dyDescent="0.3">
      <c r="A19">
        <v>10468</v>
      </c>
      <c r="B19" s="1">
        <v>46032.144694537034</v>
      </c>
      <c r="C19" t="s">
        <v>15</v>
      </c>
      <c r="D19" t="s">
        <v>16</v>
      </c>
      <c r="E19">
        <v>678.45</v>
      </c>
      <c r="F19" t="s">
        <v>21</v>
      </c>
      <c r="G19" t="s">
        <v>26</v>
      </c>
      <c r="H19" t="s">
        <v>17</v>
      </c>
      <c r="I19" t="s">
        <v>18</v>
      </c>
    </row>
    <row r="20" spans="1:9" x14ac:dyDescent="0.3">
      <c r="A20">
        <v>10470</v>
      </c>
      <c r="B20" s="1">
        <v>46032.623794212966</v>
      </c>
      <c r="C20" t="s">
        <v>24</v>
      </c>
      <c r="D20" t="s">
        <v>25</v>
      </c>
      <c r="E20">
        <v>554.39</v>
      </c>
      <c r="F20" t="s">
        <v>21</v>
      </c>
      <c r="G20" t="s">
        <v>26</v>
      </c>
      <c r="H20" t="s">
        <v>40</v>
      </c>
      <c r="I20" t="s">
        <v>18</v>
      </c>
    </row>
    <row r="21" spans="1:9" x14ac:dyDescent="0.3">
      <c r="A21">
        <v>10471</v>
      </c>
      <c r="B21" s="1">
        <v>46033.102893888892</v>
      </c>
      <c r="C21" t="s">
        <v>29</v>
      </c>
      <c r="D21" t="s">
        <v>30</v>
      </c>
      <c r="E21">
        <v>201.38</v>
      </c>
      <c r="F21" t="s">
        <v>21</v>
      </c>
      <c r="G21" t="s">
        <v>26</v>
      </c>
      <c r="H21" t="s">
        <v>41</v>
      </c>
      <c r="I21" t="s">
        <v>18</v>
      </c>
    </row>
    <row r="22" spans="1:9" x14ac:dyDescent="0.3">
      <c r="A22">
        <v>10472</v>
      </c>
      <c r="B22" s="1">
        <v>46033.581993564818</v>
      </c>
      <c r="C22" t="s">
        <v>9</v>
      </c>
      <c r="D22" t="s">
        <v>10</v>
      </c>
      <c r="E22">
        <v>631</v>
      </c>
      <c r="F22" t="s">
        <v>21</v>
      </c>
      <c r="G22" t="s">
        <v>26</v>
      </c>
      <c r="H22" t="s">
        <v>43</v>
      </c>
      <c r="I22" t="s">
        <v>18</v>
      </c>
    </row>
    <row r="23" spans="1:9" x14ac:dyDescent="0.3">
      <c r="A23">
        <v>10473</v>
      </c>
      <c r="B23" s="1">
        <v>46034.061093252312</v>
      </c>
      <c r="C23" t="s">
        <v>15</v>
      </c>
      <c r="D23" t="s">
        <v>16</v>
      </c>
      <c r="E23">
        <v>678.6</v>
      </c>
      <c r="F23" t="s">
        <v>21</v>
      </c>
      <c r="G23" t="s">
        <v>26</v>
      </c>
      <c r="H23" t="s">
        <v>17</v>
      </c>
      <c r="I23" t="s">
        <v>18</v>
      </c>
    </row>
    <row r="24" spans="1:9" x14ac:dyDescent="0.3">
      <c r="A24">
        <v>10474</v>
      </c>
      <c r="B24" s="1">
        <v>46034.540192928238</v>
      </c>
      <c r="C24" t="s">
        <v>19</v>
      </c>
      <c r="D24" t="s">
        <v>20</v>
      </c>
      <c r="E24">
        <v>200.52</v>
      </c>
      <c r="F24" t="s">
        <v>21</v>
      </c>
      <c r="G24" t="s">
        <v>26</v>
      </c>
      <c r="H24" t="s">
        <v>40</v>
      </c>
      <c r="I24" t="s">
        <v>18</v>
      </c>
    </row>
    <row r="25" spans="1:9" x14ac:dyDescent="0.3">
      <c r="A25">
        <v>10475</v>
      </c>
      <c r="B25" s="1">
        <v>46035.019292604156</v>
      </c>
      <c r="C25" t="s">
        <v>24</v>
      </c>
      <c r="D25" t="s">
        <v>25</v>
      </c>
      <c r="E25">
        <v>523.85</v>
      </c>
      <c r="F25" t="s">
        <v>21</v>
      </c>
      <c r="G25" t="s">
        <v>26</v>
      </c>
      <c r="H25" t="s">
        <v>41</v>
      </c>
      <c r="I25" t="s">
        <v>18</v>
      </c>
    </row>
    <row r="26" spans="1:9" x14ac:dyDescent="0.3">
      <c r="A26">
        <v>10476</v>
      </c>
      <c r="B26" s="1">
        <v>46035.498392280089</v>
      </c>
      <c r="C26" t="s">
        <v>29</v>
      </c>
      <c r="D26" t="s">
        <v>30</v>
      </c>
      <c r="E26">
        <v>201.49</v>
      </c>
      <c r="F26" t="s">
        <v>21</v>
      </c>
      <c r="G26" t="s">
        <v>26</v>
      </c>
      <c r="H26" t="s">
        <v>42</v>
      </c>
      <c r="I26" t="s">
        <v>18</v>
      </c>
    </row>
    <row r="27" spans="1:9" x14ac:dyDescent="0.3">
      <c r="A27">
        <v>10477</v>
      </c>
      <c r="B27" s="1">
        <v>46035.977491956022</v>
      </c>
      <c r="C27" t="s">
        <v>9</v>
      </c>
      <c r="D27" t="s">
        <v>10</v>
      </c>
      <c r="E27">
        <v>630.37</v>
      </c>
      <c r="F27" t="s">
        <v>21</v>
      </c>
      <c r="G27" t="s">
        <v>26</v>
      </c>
      <c r="H27" t="s">
        <v>44</v>
      </c>
      <c r="I27" t="s">
        <v>18</v>
      </c>
    </row>
    <row r="28" spans="1:9" x14ac:dyDescent="0.3">
      <c r="A28">
        <v>10478</v>
      </c>
      <c r="B28" s="1">
        <v>46036.456591643517</v>
      </c>
      <c r="C28" t="s">
        <v>15</v>
      </c>
      <c r="D28" t="s">
        <v>16</v>
      </c>
      <c r="E28">
        <v>678.34</v>
      </c>
      <c r="F28" t="s">
        <v>21</v>
      </c>
      <c r="G28" t="s">
        <v>26</v>
      </c>
      <c r="H28" t="s">
        <v>40</v>
      </c>
      <c r="I28" t="s">
        <v>18</v>
      </c>
    </row>
    <row r="29" spans="1:9" x14ac:dyDescent="0.3">
      <c r="A29">
        <v>10479</v>
      </c>
      <c r="B29" s="1">
        <v>46036.935691319442</v>
      </c>
      <c r="C29" t="s">
        <v>19</v>
      </c>
      <c r="D29" t="s">
        <v>20</v>
      </c>
      <c r="E29">
        <v>200.52</v>
      </c>
      <c r="F29" t="s">
        <v>21</v>
      </c>
      <c r="G29" t="s">
        <v>26</v>
      </c>
      <c r="H29" t="s">
        <v>45</v>
      </c>
      <c r="I29" t="s">
        <v>18</v>
      </c>
    </row>
    <row r="30" spans="1:9" x14ac:dyDescent="0.3">
      <c r="A30">
        <v>10480</v>
      </c>
      <c r="B30" s="1">
        <v>46037.414790995368</v>
      </c>
      <c r="C30" t="s">
        <v>24</v>
      </c>
      <c r="D30" t="s">
        <v>25</v>
      </c>
      <c r="E30">
        <v>508.71</v>
      </c>
      <c r="F30" t="s">
        <v>21</v>
      </c>
      <c r="G30" t="s">
        <v>26</v>
      </c>
      <c r="H30" t="s">
        <v>42</v>
      </c>
      <c r="I30" t="s">
        <v>18</v>
      </c>
    </row>
    <row r="31" spans="1:9" x14ac:dyDescent="0.3">
      <c r="A31">
        <v>10481</v>
      </c>
      <c r="B31" s="1">
        <v>46037.893890671286</v>
      </c>
      <c r="C31" t="s">
        <v>29</v>
      </c>
      <c r="D31" t="s">
        <v>30</v>
      </c>
      <c r="E31">
        <v>201.49</v>
      </c>
      <c r="F31" t="s">
        <v>21</v>
      </c>
      <c r="G31" t="s">
        <v>26</v>
      </c>
      <c r="H31" t="s">
        <v>17</v>
      </c>
      <c r="I31" t="s">
        <v>18</v>
      </c>
    </row>
    <row r="32" spans="1:9" x14ac:dyDescent="0.3">
      <c r="A32">
        <v>10482</v>
      </c>
      <c r="B32" s="1">
        <v>46038.372990358803</v>
      </c>
      <c r="C32" t="s">
        <v>9</v>
      </c>
      <c r="D32" t="s">
        <v>46</v>
      </c>
      <c r="E32">
        <v>630.74</v>
      </c>
      <c r="F32" t="s">
        <v>21</v>
      </c>
      <c r="G32" t="s">
        <v>26</v>
      </c>
      <c r="H32" t="s">
        <v>47</v>
      </c>
      <c r="I32" t="s">
        <v>23</v>
      </c>
    </row>
    <row r="33" spans="1:9" x14ac:dyDescent="0.3">
      <c r="A33">
        <v>10483</v>
      </c>
      <c r="B33" s="1">
        <v>46038.852090034721</v>
      </c>
      <c r="C33" t="s">
        <v>15</v>
      </c>
      <c r="D33" t="s">
        <v>48</v>
      </c>
      <c r="E33">
        <v>677.97</v>
      </c>
      <c r="F33" t="s">
        <v>21</v>
      </c>
      <c r="G33" t="s">
        <v>26</v>
      </c>
      <c r="H33" t="s">
        <v>49</v>
      </c>
      <c r="I33" t="s">
        <v>23</v>
      </c>
    </row>
    <row r="34" spans="1:9" x14ac:dyDescent="0.3">
      <c r="A34">
        <v>10484</v>
      </c>
      <c r="B34" s="1">
        <v>46039.331189710647</v>
      </c>
      <c r="C34" t="s">
        <v>19</v>
      </c>
      <c r="D34" t="s">
        <v>50</v>
      </c>
      <c r="E34">
        <v>200.4</v>
      </c>
      <c r="F34" t="s">
        <v>21</v>
      </c>
      <c r="G34" t="s">
        <v>26</v>
      </c>
      <c r="H34" t="s">
        <v>51</v>
      </c>
      <c r="I34" t="s">
        <v>23</v>
      </c>
    </row>
    <row r="35" spans="1:9" x14ac:dyDescent="0.3">
      <c r="A35">
        <v>10485</v>
      </c>
      <c r="B35" s="1">
        <v>46039.810289386573</v>
      </c>
      <c r="C35" t="s">
        <v>24</v>
      </c>
      <c r="D35" t="s">
        <v>52</v>
      </c>
      <c r="E35">
        <v>523.73</v>
      </c>
      <c r="F35" t="s">
        <v>21</v>
      </c>
      <c r="G35" t="s">
        <v>26</v>
      </c>
      <c r="H35" t="s">
        <v>53</v>
      </c>
      <c r="I35" t="s">
        <v>23</v>
      </c>
    </row>
    <row r="36" spans="1:9" x14ac:dyDescent="0.3">
      <c r="A36">
        <v>10486</v>
      </c>
      <c r="B36" s="1">
        <v>46040.289389062498</v>
      </c>
      <c r="C36" t="s">
        <v>29</v>
      </c>
      <c r="D36" t="s">
        <v>54</v>
      </c>
      <c r="E36">
        <v>201.26</v>
      </c>
      <c r="F36" t="s">
        <v>21</v>
      </c>
      <c r="G36" t="s">
        <v>26</v>
      </c>
      <c r="H36" t="s">
        <v>22</v>
      </c>
      <c r="I36" t="s">
        <v>23</v>
      </c>
    </row>
    <row r="37" spans="1:9" x14ac:dyDescent="0.3">
      <c r="A37">
        <v>10487</v>
      </c>
      <c r="B37" s="1">
        <v>46040.76848875</v>
      </c>
      <c r="C37" t="s">
        <v>9</v>
      </c>
      <c r="D37" t="s">
        <v>10</v>
      </c>
      <c r="E37">
        <v>631.12</v>
      </c>
      <c r="F37" t="s">
        <v>21</v>
      </c>
      <c r="G37" t="s">
        <v>26</v>
      </c>
      <c r="H37" t="s">
        <v>55</v>
      </c>
      <c r="I37" t="s">
        <v>23</v>
      </c>
    </row>
    <row r="38" spans="1:9" x14ac:dyDescent="0.3">
      <c r="A38">
        <v>10488</v>
      </c>
      <c r="B38" s="1">
        <v>46041.247588425933</v>
      </c>
      <c r="C38" t="s">
        <v>15</v>
      </c>
      <c r="D38" t="s">
        <v>16</v>
      </c>
      <c r="E38">
        <v>678.09</v>
      </c>
      <c r="F38" t="s">
        <v>21</v>
      </c>
      <c r="G38" t="s">
        <v>26</v>
      </c>
      <c r="H38" t="s">
        <v>56</v>
      </c>
      <c r="I38" t="s">
        <v>23</v>
      </c>
    </row>
    <row r="39" spans="1:9" x14ac:dyDescent="0.3">
      <c r="A39">
        <v>10489</v>
      </c>
      <c r="B39" s="1">
        <v>46041.726688101851</v>
      </c>
      <c r="C39" t="s">
        <v>19</v>
      </c>
      <c r="D39" t="s">
        <v>20</v>
      </c>
      <c r="E39">
        <v>200.77</v>
      </c>
      <c r="F39" t="s">
        <v>21</v>
      </c>
      <c r="G39" t="s">
        <v>26</v>
      </c>
      <c r="H39" t="s">
        <v>17</v>
      </c>
      <c r="I39" t="s">
        <v>18</v>
      </c>
    </row>
    <row r="40" spans="1:9" x14ac:dyDescent="0.3">
      <c r="A40">
        <v>10490</v>
      </c>
      <c r="B40" s="1">
        <v>46042.205787777777</v>
      </c>
      <c r="C40" t="s">
        <v>24</v>
      </c>
      <c r="D40" t="s">
        <v>25</v>
      </c>
      <c r="E40">
        <v>508.45</v>
      </c>
      <c r="F40" t="s">
        <v>21</v>
      </c>
      <c r="G40" t="s">
        <v>26</v>
      </c>
      <c r="H40" t="s">
        <v>40</v>
      </c>
      <c r="I40" t="s">
        <v>18</v>
      </c>
    </row>
    <row r="41" spans="1:9" x14ac:dyDescent="0.3">
      <c r="A41">
        <v>10491</v>
      </c>
      <c r="B41" s="1">
        <v>46042.684887465279</v>
      </c>
      <c r="C41" t="s">
        <v>29</v>
      </c>
      <c r="D41" t="s">
        <v>30</v>
      </c>
      <c r="E41">
        <v>201.76</v>
      </c>
      <c r="F41" t="s">
        <v>21</v>
      </c>
      <c r="G41" t="s">
        <v>26</v>
      </c>
      <c r="H41" t="s">
        <v>41</v>
      </c>
      <c r="I41" t="s">
        <v>18</v>
      </c>
    </row>
    <row r="42" spans="1:9" x14ac:dyDescent="0.3">
      <c r="A42">
        <v>10492</v>
      </c>
      <c r="B42" s="1">
        <v>46043.163987141197</v>
      </c>
      <c r="C42" t="s">
        <v>9</v>
      </c>
      <c r="D42" t="s">
        <v>10</v>
      </c>
      <c r="E42">
        <v>573.70000000000005</v>
      </c>
      <c r="F42" t="s">
        <v>21</v>
      </c>
      <c r="G42" t="s">
        <v>26</v>
      </c>
      <c r="H42" t="s">
        <v>42</v>
      </c>
      <c r="I42" t="s">
        <v>18</v>
      </c>
    </row>
    <row r="43" spans="1:9" x14ac:dyDescent="0.3">
      <c r="A43">
        <v>10493</v>
      </c>
      <c r="B43" s="1">
        <v>46043.64308681713</v>
      </c>
      <c r="C43" t="s">
        <v>15</v>
      </c>
      <c r="D43" t="s">
        <v>16</v>
      </c>
      <c r="E43">
        <v>678.6</v>
      </c>
      <c r="F43" t="s">
        <v>21</v>
      </c>
      <c r="G43" t="s">
        <v>26</v>
      </c>
      <c r="H43" t="s">
        <v>17</v>
      </c>
      <c r="I43" t="s">
        <v>18</v>
      </c>
    </row>
    <row r="44" spans="1:9" x14ac:dyDescent="0.3">
      <c r="A44">
        <v>10494</v>
      </c>
      <c r="B44" s="1">
        <v>46044.122186493063</v>
      </c>
      <c r="C44" t="s">
        <v>19</v>
      </c>
      <c r="D44" t="s">
        <v>20</v>
      </c>
      <c r="E44">
        <v>201.15</v>
      </c>
      <c r="F44" t="s">
        <v>21</v>
      </c>
      <c r="G44" t="s">
        <v>26</v>
      </c>
      <c r="H44" t="s">
        <v>40</v>
      </c>
      <c r="I44" t="s">
        <v>18</v>
      </c>
    </row>
    <row r="45" spans="1:9" x14ac:dyDescent="0.3">
      <c r="A45">
        <v>10495</v>
      </c>
      <c r="B45" s="1">
        <v>46044.601286168981</v>
      </c>
      <c r="C45" t="s">
        <v>24</v>
      </c>
      <c r="D45" t="s">
        <v>25</v>
      </c>
      <c r="E45">
        <v>508.71</v>
      </c>
      <c r="F45" t="s">
        <v>21</v>
      </c>
      <c r="G45" t="s">
        <v>26</v>
      </c>
      <c r="H45" t="s">
        <v>41</v>
      </c>
      <c r="I45" t="s">
        <v>18</v>
      </c>
    </row>
    <row r="46" spans="1:9" x14ac:dyDescent="0.3">
      <c r="A46">
        <v>10496</v>
      </c>
      <c r="B46" s="1">
        <v>46045.080385856483</v>
      </c>
      <c r="C46" t="s">
        <v>29</v>
      </c>
      <c r="D46" t="s">
        <v>30</v>
      </c>
      <c r="E46">
        <v>201.26</v>
      </c>
      <c r="F46" t="s">
        <v>21</v>
      </c>
      <c r="G46" t="s">
        <v>26</v>
      </c>
      <c r="H46" t="s">
        <v>42</v>
      </c>
      <c r="I46" t="s">
        <v>18</v>
      </c>
    </row>
    <row r="47" spans="1:9" x14ac:dyDescent="0.3">
      <c r="A47">
        <v>10497</v>
      </c>
      <c r="B47" s="1">
        <v>46045.559485532409</v>
      </c>
      <c r="C47" t="s">
        <v>9</v>
      </c>
      <c r="D47" t="s">
        <v>10</v>
      </c>
      <c r="E47">
        <v>573.44000000000005</v>
      </c>
      <c r="F47" t="s">
        <v>21</v>
      </c>
      <c r="G47" t="s">
        <v>26</v>
      </c>
      <c r="H47" t="s">
        <v>17</v>
      </c>
      <c r="I47" t="s">
        <v>18</v>
      </c>
    </row>
    <row r="48" spans="1:9" x14ac:dyDescent="0.3">
      <c r="A48">
        <v>10498</v>
      </c>
      <c r="B48" s="1">
        <v>46046.038585208327</v>
      </c>
      <c r="C48" t="s">
        <v>15</v>
      </c>
      <c r="D48" t="s">
        <v>16</v>
      </c>
      <c r="E48">
        <v>678.72</v>
      </c>
      <c r="F48" t="s">
        <v>57</v>
      </c>
      <c r="G48" t="s">
        <v>26</v>
      </c>
      <c r="H48" t="s">
        <v>40</v>
      </c>
      <c r="I48" t="s">
        <v>18</v>
      </c>
    </row>
    <row r="49" spans="1:9" x14ac:dyDescent="0.3">
      <c r="A49">
        <v>10499</v>
      </c>
      <c r="B49" s="1">
        <v>46046.51768488426</v>
      </c>
      <c r="C49" t="s">
        <v>19</v>
      </c>
      <c r="D49" t="s">
        <v>20</v>
      </c>
      <c r="E49">
        <v>200.77</v>
      </c>
      <c r="F49" t="s">
        <v>57</v>
      </c>
      <c r="G49" t="s">
        <v>26</v>
      </c>
      <c r="H49" t="s">
        <v>41</v>
      </c>
      <c r="I49" t="s">
        <v>18</v>
      </c>
    </row>
    <row r="50" spans="1:9" x14ac:dyDescent="0.3">
      <c r="A50">
        <v>10500</v>
      </c>
      <c r="B50" s="1">
        <v>46046.996784560193</v>
      </c>
      <c r="C50" t="s">
        <v>24</v>
      </c>
      <c r="D50" t="s">
        <v>25</v>
      </c>
      <c r="E50">
        <v>523.48</v>
      </c>
      <c r="F50" t="s">
        <v>57</v>
      </c>
      <c r="G50" t="s">
        <v>26</v>
      </c>
      <c r="H50" t="s">
        <v>42</v>
      </c>
      <c r="I50" t="s">
        <v>18</v>
      </c>
    </row>
    <row r="51" spans="1:9" x14ac:dyDescent="0.3">
      <c r="A51">
        <v>10501</v>
      </c>
      <c r="B51" s="1">
        <v>46047.475884247688</v>
      </c>
      <c r="C51" t="s">
        <v>29</v>
      </c>
      <c r="D51" t="s">
        <v>30</v>
      </c>
      <c r="E51">
        <v>201.26</v>
      </c>
      <c r="F51" t="s">
        <v>57</v>
      </c>
      <c r="G51" t="s">
        <v>26</v>
      </c>
      <c r="H51" t="s">
        <v>17</v>
      </c>
      <c r="I51" t="s">
        <v>18</v>
      </c>
    </row>
    <row r="52" spans="1:9" x14ac:dyDescent="0.3">
      <c r="A52">
        <v>10502</v>
      </c>
      <c r="B52" s="1">
        <v>46047.954983923613</v>
      </c>
      <c r="C52" t="s">
        <v>9</v>
      </c>
      <c r="D52" t="s">
        <v>10</v>
      </c>
      <c r="E52">
        <v>630.85</v>
      </c>
      <c r="F52" t="s">
        <v>57</v>
      </c>
      <c r="G52" t="s">
        <v>26</v>
      </c>
      <c r="H52" t="s">
        <v>40</v>
      </c>
      <c r="I52" t="s">
        <v>18</v>
      </c>
    </row>
    <row r="53" spans="1:9" x14ac:dyDescent="0.3">
      <c r="A53">
        <v>10503</v>
      </c>
      <c r="B53" s="1">
        <v>46048.434083599539</v>
      </c>
      <c r="C53" t="s">
        <v>15</v>
      </c>
      <c r="D53" t="s">
        <v>16</v>
      </c>
      <c r="E53">
        <v>678.22</v>
      </c>
      <c r="F53" t="s">
        <v>57</v>
      </c>
      <c r="G53" t="s">
        <v>26</v>
      </c>
      <c r="H53" t="s">
        <v>41</v>
      </c>
      <c r="I53" t="s">
        <v>18</v>
      </c>
    </row>
    <row r="54" spans="1:9" x14ac:dyDescent="0.3">
      <c r="A54">
        <v>10504</v>
      </c>
      <c r="B54" s="1">
        <v>46048.913183275457</v>
      </c>
      <c r="C54" t="s">
        <v>19</v>
      </c>
      <c r="D54" t="s">
        <v>20</v>
      </c>
      <c r="E54">
        <v>201.15</v>
      </c>
      <c r="F54" t="s">
        <v>57</v>
      </c>
      <c r="G54" t="s">
        <v>26</v>
      </c>
      <c r="H54" t="s">
        <v>42</v>
      </c>
      <c r="I54" t="s">
        <v>18</v>
      </c>
    </row>
    <row r="55" spans="1:9" x14ac:dyDescent="0.3">
      <c r="A55">
        <v>10505</v>
      </c>
      <c r="B55" s="1">
        <v>46049.392282962966</v>
      </c>
      <c r="C55" t="s">
        <v>24</v>
      </c>
      <c r="D55" t="s">
        <v>25</v>
      </c>
      <c r="E55">
        <v>539.36</v>
      </c>
      <c r="F55" t="s">
        <v>57</v>
      </c>
      <c r="G55" t="s">
        <v>26</v>
      </c>
      <c r="H55" t="s">
        <v>17</v>
      </c>
      <c r="I55" t="s">
        <v>18</v>
      </c>
    </row>
    <row r="56" spans="1:9" x14ac:dyDescent="0.3">
      <c r="A56">
        <v>10506</v>
      </c>
      <c r="B56" s="1">
        <v>46049.871382638892</v>
      </c>
      <c r="C56" t="s">
        <v>29</v>
      </c>
      <c r="D56" t="s">
        <v>30</v>
      </c>
      <c r="E56">
        <v>201.01</v>
      </c>
      <c r="F56" t="s">
        <v>57</v>
      </c>
      <c r="G56" t="s">
        <v>26</v>
      </c>
      <c r="H56" t="s">
        <v>40</v>
      </c>
      <c r="I56" t="s">
        <v>18</v>
      </c>
    </row>
    <row r="57" spans="1:9" x14ac:dyDescent="0.3">
      <c r="A57">
        <v>10507</v>
      </c>
      <c r="B57" s="1">
        <v>46050.350482314818</v>
      </c>
      <c r="C57" t="s">
        <v>9</v>
      </c>
      <c r="D57" t="s">
        <v>10</v>
      </c>
      <c r="E57">
        <v>688.43</v>
      </c>
      <c r="F57" t="s">
        <v>57</v>
      </c>
      <c r="G57" t="s">
        <v>26</v>
      </c>
      <c r="H57" t="s">
        <v>41</v>
      </c>
      <c r="I57" t="s">
        <v>18</v>
      </c>
    </row>
    <row r="58" spans="1:9" x14ac:dyDescent="0.3">
      <c r="A58">
        <v>10508</v>
      </c>
      <c r="B58" s="1">
        <v>46050.829581990743</v>
      </c>
      <c r="C58" t="s">
        <v>15</v>
      </c>
      <c r="D58" t="s">
        <v>16</v>
      </c>
      <c r="E58">
        <v>678.09</v>
      </c>
      <c r="F58" t="s">
        <v>57</v>
      </c>
      <c r="G58" t="s">
        <v>26</v>
      </c>
      <c r="H58" t="s">
        <v>42</v>
      </c>
      <c r="I58" t="s">
        <v>18</v>
      </c>
    </row>
    <row r="59" spans="1:9" x14ac:dyDescent="0.3">
      <c r="A59">
        <v>10509</v>
      </c>
      <c r="B59" s="1">
        <v>46051.308681666669</v>
      </c>
      <c r="C59" t="s">
        <v>19</v>
      </c>
      <c r="D59" t="s">
        <v>20</v>
      </c>
      <c r="E59">
        <v>200.77</v>
      </c>
      <c r="F59" t="s">
        <v>57</v>
      </c>
      <c r="G59" t="s">
        <v>26</v>
      </c>
      <c r="H59" t="s">
        <v>17</v>
      </c>
      <c r="I59" t="s">
        <v>18</v>
      </c>
    </row>
    <row r="60" spans="1:9" x14ac:dyDescent="0.3">
      <c r="A60">
        <v>10510</v>
      </c>
      <c r="B60" s="1">
        <v>46051.787781354164</v>
      </c>
      <c r="C60" t="s">
        <v>24</v>
      </c>
      <c r="D60" t="s">
        <v>25</v>
      </c>
      <c r="E60">
        <v>508.08</v>
      </c>
      <c r="F60" t="s">
        <v>57</v>
      </c>
      <c r="G60" t="s">
        <v>26</v>
      </c>
      <c r="H60" t="s">
        <v>40</v>
      </c>
      <c r="I60" t="s">
        <v>18</v>
      </c>
    </row>
    <row r="61" spans="1:9" x14ac:dyDescent="0.3">
      <c r="A61">
        <v>10511</v>
      </c>
      <c r="B61" s="1">
        <v>46052.266881030089</v>
      </c>
      <c r="C61" t="s">
        <v>29</v>
      </c>
      <c r="D61" t="s">
        <v>30</v>
      </c>
      <c r="E61">
        <v>201.38</v>
      </c>
      <c r="F61" t="s">
        <v>57</v>
      </c>
      <c r="G61" t="s">
        <v>26</v>
      </c>
      <c r="H61" t="s">
        <v>55</v>
      </c>
      <c r="I61" t="s">
        <v>23</v>
      </c>
    </row>
    <row r="62" spans="1:9" x14ac:dyDescent="0.3">
      <c r="A62">
        <v>10512</v>
      </c>
      <c r="B62" s="1">
        <v>46052.745980706008</v>
      </c>
      <c r="C62" t="s">
        <v>9</v>
      </c>
      <c r="D62" t="s">
        <v>10</v>
      </c>
      <c r="E62">
        <v>688.31</v>
      </c>
      <c r="F62" t="s">
        <v>57</v>
      </c>
      <c r="G62" t="s">
        <v>26</v>
      </c>
      <c r="H62" t="s">
        <v>56</v>
      </c>
      <c r="I62" t="s">
        <v>23</v>
      </c>
    </row>
    <row r="63" spans="1:9" x14ac:dyDescent="0.3">
      <c r="A63">
        <v>10513</v>
      </c>
      <c r="B63" s="1">
        <v>46053.225080381948</v>
      </c>
      <c r="C63" t="s">
        <v>15</v>
      </c>
      <c r="D63" t="s">
        <v>16</v>
      </c>
      <c r="E63">
        <v>678.09</v>
      </c>
      <c r="F63" t="s">
        <v>57</v>
      </c>
      <c r="G63" t="s">
        <v>58</v>
      </c>
      <c r="H63" t="s">
        <v>59</v>
      </c>
      <c r="I63" t="s">
        <v>23</v>
      </c>
    </row>
    <row r="64" spans="1:9" x14ac:dyDescent="0.3">
      <c r="A64">
        <v>10514</v>
      </c>
      <c r="B64" s="1">
        <v>46053.704180069442</v>
      </c>
      <c r="C64" t="s">
        <v>19</v>
      </c>
      <c r="D64" t="s">
        <v>20</v>
      </c>
      <c r="E64">
        <v>200.52</v>
      </c>
      <c r="F64" t="s">
        <v>57</v>
      </c>
      <c r="G64" t="s">
        <v>58</v>
      </c>
      <c r="H64" t="s">
        <v>47</v>
      </c>
      <c r="I64" t="s">
        <v>23</v>
      </c>
    </row>
    <row r="65" spans="1:9" x14ac:dyDescent="0.3">
      <c r="A65">
        <v>10515</v>
      </c>
      <c r="B65" s="1">
        <v>46054.183279745368</v>
      </c>
      <c r="C65" t="s">
        <v>24</v>
      </c>
      <c r="D65" t="s">
        <v>25</v>
      </c>
      <c r="E65">
        <v>477.29</v>
      </c>
      <c r="F65" t="s">
        <v>57</v>
      </c>
      <c r="G65" t="s">
        <v>58</v>
      </c>
      <c r="H65" t="s">
        <v>55</v>
      </c>
      <c r="I65" t="s">
        <v>23</v>
      </c>
    </row>
    <row r="66" spans="1:9" x14ac:dyDescent="0.3">
      <c r="A66">
        <v>10516</v>
      </c>
      <c r="B66" s="1">
        <v>46054.662379421286</v>
      </c>
      <c r="C66" t="s">
        <v>29</v>
      </c>
      <c r="D66" t="s">
        <v>30</v>
      </c>
      <c r="E66">
        <v>201.13</v>
      </c>
      <c r="F66" t="s">
        <v>57</v>
      </c>
      <c r="G66" t="s">
        <v>58</v>
      </c>
      <c r="H66" t="s">
        <v>56</v>
      </c>
      <c r="I66" t="s">
        <v>23</v>
      </c>
    </row>
    <row r="67" spans="1:9" x14ac:dyDescent="0.3">
      <c r="A67">
        <v>10483</v>
      </c>
      <c r="B67" s="1">
        <v>46055.141479097219</v>
      </c>
      <c r="C67" t="s">
        <v>15</v>
      </c>
      <c r="D67" t="s">
        <v>16</v>
      </c>
      <c r="E67">
        <v>678.45</v>
      </c>
      <c r="F67" t="s">
        <v>21</v>
      </c>
      <c r="G67" t="s">
        <v>26</v>
      </c>
      <c r="H67" t="s">
        <v>53</v>
      </c>
      <c r="I67" t="s">
        <v>23</v>
      </c>
    </row>
    <row r="68" spans="1:9" x14ac:dyDescent="0.3">
      <c r="A68">
        <v>10484</v>
      </c>
      <c r="B68" s="1">
        <v>46055.620578773152</v>
      </c>
      <c r="C68" t="s">
        <v>19</v>
      </c>
      <c r="D68" t="s">
        <v>20</v>
      </c>
      <c r="E68">
        <v>200.52</v>
      </c>
      <c r="F68" t="s">
        <v>21</v>
      </c>
      <c r="G68" t="s">
        <v>26</v>
      </c>
      <c r="H68" t="s">
        <v>22</v>
      </c>
      <c r="I68" t="s">
        <v>23</v>
      </c>
    </row>
    <row r="69" spans="1:9" x14ac:dyDescent="0.3">
      <c r="A69">
        <v>10485</v>
      </c>
      <c r="B69" s="1">
        <v>46056.099678460647</v>
      </c>
      <c r="C69" t="s">
        <v>24</v>
      </c>
      <c r="D69" t="s">
        <v>25</v>
      </c>
      <c r="E69">
        <v>523.85</v>
      </c>
      <c r="F69" t="s">
        <v>21</v>
      </c>
      <c r="G69" t="s">
        <v>26</v>
      </c>
      <c r="H69" t="s">
        <v>49</v>
      </c>
      <c r="I69" t="s">
        <v>23</v>
      </c>
    </row>
    <row r="70" spans="1:9" x14ac:dyDescent="0.3">
      <c r="A70">
        <v>10520</v>
      </c>
      <c r="B70" s="1">
        <v>46056.578778136573</v>
      </c>
      <c r="C70" t="s">
        <v>24</v>
      </c>
      <c r="D70" t="s">
        <v>25</v>
      </c>
      <c r="E70">
        <v>493.06</v>
      </c>
      <c r="F70" t="s">
        <v>57</v>
      </c>
      <c r="G70" t="s">
        <v>58</v>
      </c>
      <c r="H70" t="s">
        <v>35</v>
      </c>
      <c r="I70" t="s">
        <v>33</v>
      </c>
    </row>
    <row r="71" spans="1:9" x14ac:dyDescent="0.3">
      <c r="A71">
        <v>10521</v>
      </c>
      <c r="B71" s="1">
        <v>46057.057877812498</v>
      </c>
      <c r="C71" t="s">
        <v>29</v>
      </c>
      <c r="D71" t="s">
        <v>30</v>
      </c>
      <c r="E71">
        <v>201.76</v>
      </c>
      <c r="F71" t="s">
        <v>57</v>
      </c>
      <c r="G71" t="s">
        <v>58</v>
      </c>
      <c r="H71" t="s">
        <v>36</v>
      </c>
      <c r="I71" t="s">
        <v>33</v>
      </c>
    </row>
    <row r="72" spans="1:9" x14ac:dyDescent="0.3">
      <c r="A72">
        <v>10522</v>
      </c>
      <c r="B72" s="1">
        <v>46057.536977488417</v>
      </c>
      <c r="C72" t="s">
        <v>9</v>
      </c>
      <c r="D72" t="s">
        <v>10</v>
      </c>
      <c r="E72">
        <v>688.05</v>
      </c>
      <c r="F72" t="s">
        <v>57</v>
      </c>
      <c r="G72" t="s">
        <v>58</v>
      </c>
      <c r="H72" t="s">
        <v>37</v>
      </c>
      <c r="I72" t="s">
        <v>33</v>
      </c>
    </row>
    <row r="73" spans="1:9" x14ac:dyDescent="0.3">
      <c r="A73">
        <v>10523</v>
      </c>
      <c r="B73" s="1">
        <v>46058.016077175933</v>
      </c>
      <c r="C73" t="s">
        <v>15</v>
      </c>
      <c r="D73" t="s">
        <v>16</v>
      </c>
      <c r="E73">
        <v>746.51</v>
      </c>
      <c r="F73" t="s">
        <v>57</v>
      </c>
      <c r="G73" t="s">
        <v>58</v>
      </c>
      <c r="H73" t="s">
        <v>38</v>
      </c>
      <c r="I73" t="s">
        <v>33</v>
      </c>
    </row>
    <row r="74" spans="1:9" x14ac:dyDescent="0.3">
      <c r="A74">
        <v>10524</v>
      </c>
      <c r="B74" s="1">
        <v>46058.495176851851</v>
      </c>
      <c r="C74" t="s">
        <v>19</v>
      </c>
      <c r="D74" t="s">
        <v>20</v>
      </c>
      <c r="E74">
        <v>200.77</v>
      </c>
      <c r="F74" t="s">
        <v>57</v>
      </c>
      <c r="G74" t="s">
        <v>58</v>
      </c>
      <c r="H74" t="s">
        <v>35</v>
      </c>
      <c r="I74" t="s">
        <v>33</v>
      </c>
    </row>
    <row r="75" spans="1:9" x14ac:dyDescent="0.3">
      <c r="A75">
        <v>10525</v>
      </c>
      <c r="B75" s="1">
        <v>46058.974276527777</v>
      </c>
      <c r="C75" t="s">
        <v>24</v>
      </c>
      <c r="D75" t="s">
        <v>25</v>
      </c>
      <c r="E75">
        <v>462.37</v>
      </c>
      <c r="F75" t="s">
        <v>57</v>
      </c>
      <c r="G75" t="s">
        <v>58</v>
      </c>
      <c r="H75" t="s">
        <v>36</v>
      </c>
      <c r="I75" t="s">
        <v>33</v>
      </c>
    </row>
    <row r="76" spans="1:9" x14ac:dyDescent="0.3">
      <c r="A76">
        <v>10526</v>
      </c>
      <c r="B76" s="1">
        <v>46059.453376203703</v>
      </c>
      <c r="C76" t="s">
        <v>29</v>
      </c>
      <c r="D76" t="s">
        <v>30</v>
      </c>
      <c r="E76">
        <v>201.76</v>
      </c>
      <c r="F76" t="s">
        <v>57</v>
      </c>
      <c r="G76" t="s">
        <v>58</v>
      </c>
      <c r="H76" t="s">
        <v>37</v>
      </c>
      <c r="I76" t="s">
        <v>33</v>
      </c>
    </row>
    <row r="77" spans="1:9" x14ac:dyDescent="0.3">
      <c r="A77">
        <v>10527</v>
      </c>
      <c r="B77" s="1">
        <v>46059.932475879628</v>
      </c>
      <c r="C77" t="s">
        <v>9</v>
      </c>
      <c r="D77" t="s">
        <v>10</v>
      </c>
      <c r="E77">
        <v>687.93</v>
      </c>
      <c r="F77" t="s">
        <v>57</v>
      </c>
      <c r="G77" t="s">
        <v>58</v>
      </c>
      <c r="H77" t="s">
        <v>38</v>
      </c>
      <c r="I77" t="s">
        <v>33</v>
      </c>
    </row>
    <row r="78" spans="1:9" x14ac:dyDescent="0.3">
      <c r="A78">
        <v>10528</v>
      </c>
      <c r="B78" s="1">
        <v>46060.41157556713</v>
      </c>
      <c r="C78" t="s">
        <v>15</v>
      </c>
      <c r="D78" t="s">
        <v>16</v>
      </c>
      <c r="E78">
        <v>746.39</v>
      </c>
      <c r="F78" t="s">
        <v>57</v>
      </c>
      <c r="G78" t="s">
        <v>58</v>
      </c>
      <c r="H78" t="s">
        <v>35</v>
      </c>
      <c r="I78" t="s">
        <v>33</v>
      </c>
    </row>
    <row r="79" spans="1:9" x14ac:dyDescent="0.3">
      <c r="A79">
        <v>10529</v>
      </c>
      <c r="B79" s="1">
        <v>46060.890675243063</v>
      </c>
      <c r="C79" t="s">
        <v>19</v>
      </c>
      <c r="D79" t="s">
        <v>20</v>
      </c>
      <c r="E79">
        <v>200.4</v>
      </c>
      <c r="F79" t="s">
        <v>57</v>
      </c>
      <c r="G79" t="s">
        <v>58</v>
      </c>
      <c r="H79" t="s">
        <v>36</v>
      </c>
      <c r="I79" t="s">
        <v>33</v>
      </c>
    </row>
    <row r="80" spans="1:9" x14ac:dyDescent="0.3">
      <c r="A80">
        <v>10530</v>
      </c>
      <c r="B80" s="1">
        <v>46061.369774918981</v>
      </c>
      <c r="C80" t="s">
        <v>24</v>
      </c>
      <c r="D80" t="s">
        <v>25</v>
      </c>
      <c r="E80">
        <v>477.66</v>
      </c>
      <c r="F80" t="s">
        <v>57</v>
      </c>
      <c r="G80" t="s">
        <v>58</v>
      </c>
      <c r="H80" t="s">
        <v>37</v>
      </c>
      <c r="I80" t="s">
        <v>33</v>
      </c>
    </row>
    <row r="81" spans="1:9" x14ac:dyDescent="0.3">
      <c r="A81">
        <v>10531</v>
      </c>
      <c r="B81" s="1">
        <v>46061.848874594907</v>
      </c>
      <c r="C81" t="s">
        <v>29</v>
      </c>
      <c r="D81" t="s">
        <v>30</v>
      </c>
      <c r="E81">
        <v>201.13</v>
      </c>
      <c r="F81" t="s">
        <v>57</v>
      </c>
      <c r="G81" t="s">
        <v>58</v>
      </c>
      <c r="H81" t="s">
        <v>38</v>
      </c>
      <c r="I81" t="s">
        <v>33</v>
      </c>
    </row>
    <row r="82" spans="1:9" x14ac:dyDescent="0.3">
      <c r="A82">
        <v>10532</v>
      </c>
      <c r="B82" s="1">
        <v>46062.327974270833</v>
      </c>
      <c r="C82" t="s">
        <v>9</v>
      </c>
      <c r="D82" t="s">
        <v>10</v>
      </c>
      <c r="E82">
        <v>688.05</v>
      </c>
      <c r="F82" t="s">
        <v>57</v>
      </c>
      <c r="G82" t="s">
        <v>58</v>
      </c>
      <c r="H82" t="s">
        <v>56</v>
      </c>
      <c r="I82" t="s">
        <v>23</v>
      </c>
    </row>
    <row r="83" spans="1:9" x14ac:dyDescent="0.3">
      <c r="A83">
        <v>10533</v>
      </c>
      <c r="B83" s="1">
        <v>46062.807073958327</v>
      </c>
      <c r="C83" t="s">
        <v>15</v>
      </c>
      <c r="D83" t="s">
        <v>16</v>
      </c>
      <c r="E83">
        <v>745.88</v>
      </c>
      <c r="F83" t="s">
        <v>57</v>
      </c>
      <c r="G83" t="s">
        <v>58</v>
      </c>
      <c r="H83" t="s">
        <v>59</v>
      </c>
      <c r="I83" t="s">
        <v>23</v>
      </c>
    </row>
    <row r="84" spans="1:9" x14ac:dyDescent="0.3">
      <c r="A84">
        <v>10534</v>
      </c>
      <c r="B84" s="1">
        <v>46063.28617363426</v>
      </c>
      <c r="C84" t="s">
        <v>19</v>
      </c>
      <c r="D84" t="s">
        <v>20</v>
      </c>
      <c r="E84">
        <v>201.03</v>
      </c>
      <c r="F84" t="s">
        <v>57</v>
      </c>
      <c r="G84" t="s">
        <v>58</v>
      </c>
      <c r="H84" t="s">
        <v>40</v>
      </c>
      <c r="I84" t="s">
        <v>18</v>
      </c>
    </row>
    <row r="85" spans="1:9" x14ac:dyDescent="0.3">
      <c r="A85">
        <v>10535</v>
      </c>
      <c r="B85" s="1">
        <v>46063.765273310193</v>
      </c>
      <c r="C85" t="s">
        <v>24</v>
      </c>
      <c r="D85" t="s">
        <v>25</v>
      </c>
      <c r="E85">
        <v>477.92</v>
      </c>
      <c r="F85" t="s">
        <v>57</v>
      </c>
      <c r="G85" t="s">
        <v>26</v>
      </c>
      <c r="H85" t="s">
        <v>41</v>
      </c>
      <c r="I85" t="s">
        <v>18</v>
      </c>
    </row>
    <row r="86" spans="1:9" x14ac:dyDescent="0.3">
      <c r="A86">
        <v>10536</v>
      </c>
      <c r="B86" s="1">
        <v>46064.244372986112</v>
      </c>
      <c r="C86" t="s">
        <v>29</v>
      </c>
      <c r="D86" t="s">
        <v>30</v>
      </c>
      <c r="E86">
        <v>201.64</v>
      </c>
      <c r="F86" t="s">
        <v>57</v>
      </c>
      <c r="G86" t="s">
        <v>26</v>
      </c>
      <c r="H86" t="s">
        <v>42</v>
      </c>
      <c r="I86" t="s">
        <v>18</v>
      </c>
    </row>
    <row r="87" spans="1:9" x14ac:dyDescent="0.3">
      <c r="A87">
        <v>10537</v>
      </c>
      <c r="B87" s="1">
        <v>46064.723472673613</v>
      </c>
      <c r="C87" t="s">
        <v>9</v>
      </c>
      <c r="D87" t="s">
        <v>10</v>
      </c>
      <c r="E87">
        <v>630.49</v>
      </c>
      <c r="F87" t="s">
        <v>57</v>
      </c>
      <c r="G87" t="s">
        <v>26</v>
      </c>
      <c r="H87" t="s">
        <v>17</v>
      </c>
      <c r="I87" t="s">
        <v>18</v>
      </c>
    </row>
    <row r="88" spans="1:9" x14ac:dyDescent="0.3">
      <c r="A88">
        <v>10538</v>
      </c>
      <c r="B88" s="1">
        <v>46065.202572349539</v>
      </c>
      <c r="C88" t="s">
        <v>15</v>
      </c>
      <c r="D88" t="s">
        <v>16</v>
      </c>
      <c r="E88">
        <v>746.13</v>
      </c>
      <c r="F88" t="s">
        <v>57</v>
      </c>
      <c r="G88" t="s">
        <v>26</v>
      </c>
      <c r="H88" t="s">
        <v>40</v>
      </c>
      <c r="I88" t="s">
        <v>18</v>
      </c>
    </row>
    <row r="89" spans="1:9" x14ac:dyDescent="0.3">
      <c r="A89">
        <v>10539</v>
      </c>
      <c r="B89" s="1">
        <v>46065.681672025457</v>
      </c>
      <c r="C89" t="s">
        <v>19</v>
      </c>
      <c r="D89" t="s">
        <v>20</v>
      </c>
      <c r="E89">
        <v>201.03</v>
      </c>
      <c r="F89" t="s">
        <v>57</v>
      </c>
      <c r="G89" t="s">
        <v>26</v>
      </c>
      <c r="H89" t="s">
        <v>41</v>
      </c>
      <c r="I89" t="s">
        <v>18</v>
      </c>
    </row>
    <row r="90" spans="1:9" x14ac:dyDescent="0.3">
      <c r="A90">
        <v>10540</v>
      </c>
      <c r="B90" s="1">
        <v>46066.16077170139</v>
      </c>
      <c r="C90" t="s">
        <v>24</v>
      </c>
      <c r="D90" t="s">
        <v>25</v>
      </c>
      <c r="E90">
        <v>462.37</v>
      </c>
      <c r="F90" t="s">
        <v>57</v>
      </c>
      <c r="G90" t="s">
        <v>26</v>
      </c>
      <c r="H90" t="s">
        <v>42</v>
      </c>
      <c r="I90" t="s">
        <v>18</v>
      </c>
    </row>
    <row r="91" spans="1:9" x14ac:dyDescent="0.3">
      <c r="A91">
        <v>10541</v>
      </c>
      <c r="B91" s="1">
        <v>46066.639871377323</v>
      </c>
      <c r="C91" t="s">
        <v>29</v>
      </c>
      <c r="D91" t="s">
        <v>30</v>
      </c>
      <c r="E91">
        <v>201.76</v>
      </c>
      <c r="F91" t="s">
        <v>57</v>
      </c>
      <c r="G91" t="s">
        <v>26</v>
      </c>
      <c r="H91" t="s">
        <v>60</v>
      </c>
      <c r="I91" t="s">
        <v>14</v>
      </c>
    </row>
    <row r="92" spans="1:9" x14ac:dyDescent="0.3">
      <c r="A92">
        <v>10542</v>
      </c>
      <c r="B92" s="1">
        <v>46067.118971064818</v>
      </c>
      <c r="C92" t="s">
        <v>9</v>
      </c>
      <c r="D92" t="s">
        <v>10</v>
      </c>
      <c r="E92">
        <v>630.49</v>
      </c>
      <c r="F92" t="s">
        <v>57</v>
      </c>
      <c r="G92" t="s">
        <v>26</v>
      </c>
      <c r="H92" t="s">
        <v>61</v>
      </c>
      <c r="I92" t="s">
        <v>14</v>
      </c>
    </row>
    <row r="93" spans="1:9" x14ac:dyDescent="0.3">
      <c r="A93">
        <v>10543</v>
      </c>
      <c r="B93" s="1">
        <v>46067.598070740743</v>
      </c>
      <c r="C93" t="s">
        <v>15</v>
      </c>
      <c r="D93" t="s">
        <v>16</v>
      </c>
      <c r="E93">
        <v>745.88</v>
      </c>
      <c r="F93" t="s">
        <v>57</v>
      </c>
      <c r="G93" t="s">
        <v>26</v>
      </c>
      <c r="H93" t="s">
        <v>62</v>
      </c>
      <c r="I93" t="s">
        <v>14</v>
      </c>
    </row>
    <row r="94" spans="1:9" x14ac:dyDescent="0.3">
      <c r="A94">
        <v>10544</v>
      </c>
      <c r="B94" s="1">
        <v>46068.077170416669</v>
      </c>
      <c r="C94" t="s">
        <v>19</v>
      </c>
      <c r="D94" t="s">
        <v>20</v>
      </c>
      <c r="E94">
        <v>200.77</v>
      </c>
      <c r="F94" t="s">
        <v>57</v>
      </c>
      <c r="G94" t="s">
        <v>26</v>
      </c>
      <c r="H94" t="s">
        <v>63</v>
      </c>
      <c r="I94" t="s">
        <v>14</v>
      </c>
    </row>
    <row r="95" spans="1:9" x14ac:dyDescent="0.3">
      <c r="A95">
        <v>10545</v>
      </c>
      <c r="B95" s="1">
        <v>46068.556270092588</v>
      </c>
      <c r="C95" t="s">
        <v>24</v>
      </c>
      <c r="D95" t="s">
        <v>25</v>
      </c>
      <c r="E95">
        <v>446.62</v>
      </c>
      <c r="F95" t="s">
        <v>57</v>
      </c>
      <c r="G95" t="s">
        <v>26</v>
      </c>
      <c r="H95" t="s">
        <v>60</v>
      </c>
      <c r="I95" t="s">
        <v>14</v>
      </c>
    </row>
    <row r="96" spans="1:9" x14ac:dyDescent="0.3">
      <c r="A96">
        <v>10546</v>
      </c>
      <c r="B96" s="1">
        <v>46069.035369780089</v>
      </c>
      <c r="C96" t="s">
        <v>29</v>
      </c>
      <c r="D96" t="s">
        <v>30</v>
      </c>
      <c r="E96">
        <v>201.13</v>
      </c>
      <c r="F96" t="s">
        <v>57</v>
      </c>
      <c r="G96" t="s">
        <v>26</v>
      </c>
      <c r="H96" t="s">
        <v>61</v>
      </c>
      <c r="I96" t="s">
        <v>14</v>
      </c>
    </row>
    <row r="97" spans="1:9" x14ac:dyDescent="0.3">
      <c r="A97">
        <v>10547</v>
      </c>
      <c r="B97" s="1">
        <v>46069.514469456008</v>
      </c>
      <c r="C97" t="s">
        <v>9</v>
      </c>
      <c r="D97" t="s">
        <v>10</v>
      </c>
      <c r="E97">
        <v>631</v>
      </c>
      <c r="F97" t="s">
        <v>57</v>
      </c>
      <c r="G97" t="s">
        <v>26</v>
      </c>
      <c r="H97" t="s">
        <v>62</v>
      </c>
      <c r="I97" t="s">
        <v>14</v>
      </c>
    </row>
    <row r="98" spans="1:9" x14ac:dyDescent="0.3">
      <c r="A98">
        <v>10548</v>
      </c>
      <c r="B98" s="1">
        <v>46069.993569131948</v>
      </c>
      <c r="C98" t="s">
        <v>15</v>
      </c>
      <c r="D98" t="s">
        <v>16</v>
      </c>
      <c r="E98">
        <v>746.13</v>
      </c>
      <c r="F98" t="s">
        <v>57</v>
      </c>
      <c r="G98" t="s">
        <v>26</v>
      </c>
      <c r="H98" t="s">
        <v>63</v>
      </c>
      <c r="I98" t="s">
        <v>14</v>
      </c>
    </row>
    <row r="99" spans="1:9" x14ac:dyDescent="0.3">
      <c r="A99">
        <v>10549</v>
      </c>
      <c r="B99" s="1">
        <v>46070.472668807874</v>
      </c>
      <c r="C99" t="s">
        <v>19</v>
      </c>
      <c r="D99" t="s">
        <v>20</v>
      </c>
      <c r="E99">
        <v>201.03</v>
      </c>
      <c r="F99" t="s">
        <v>57</v>
      </c>
      <c r="G99" t="s">
        <v>26</v>
      </c>
      <c r="H99" t="s">
        <v>60</v>
      </c>
      <c r="I99" t="s">
        <v>14</v>
      </c>
    </row>
    <row r="100" spans="1:9" x14ac:dyDescent="0.3">
      <c r="A100">
        <v>10550</v>
      </c>
      <c r="B100" s="1">
        <v>46070.951768483799</v>
      </c>
      <c r="C100" t="s">
        <v>24</v>
      </c>
      <c r="D100" t="s">
        <v>25</v>
      </c>
      <c r="E100">
        <v>462.64</v>
      </c>
      <c r="F100" t="s">
        <v>57</v>
      </c>
      <c r="G100" t="s">
        <v>26</v>
      </c>
      <c r="H100" t="s">
        <v>61</v>
      </c>
      <c r="I100" t="s">
        <v>14</v>
      </c>
    </row>
    <row r="101" spans="1:9" x14ac:dyDescent="0.3">
      <c r="A101">
        <v>10551</v>
      </c>
      <c r="B101" s="1">
        <v>46071.430868171286</v>
      </c>
      <c r="C101" t="s">
        <v>29</v>
      </c>
      <c r="D101" t="s">
        <v>30</v>
      </c>
      <c r="E101">
        <v>201.76</v>
      </c>
      <c r="F101" t="s">
        <v>57</v>
      </c>
      <c r="G101" t="s">
        <v>26</v>
      </c>
      <c r="H101" t="s">
        <v>62</v>
      </c>
      <c r="I101" t="s">
        <v>14</v>
      </c>
    </row>
    <row r="102" spans="1:9" x14ac:dyDescent="0.3">
      <c r="A102">
        <v>10552</v>
      </c>
      <c r="B102" s="1">
        <v>46071.909967847219</v>
      </c>
      <c r="C102" t="s">
        <v>9</v>
      </c>
      <c r="D102" t="s">
        <v>10</v>
      </c>
      <c r="E102">
        <v>631</v>
      </c>
      <c r="F102" t="s">
        <v>11</v>
      </c>
      <c r="G102" t="s">
        <v>26</v>
      </c>
      <c r="H102" t="s">
        <v>63</v>
      </c>
      <c r="I102" t="s">
        <v>14</v>
      </c>
    </row>
    <row r="103" spans="1:9" x14ac:dyDescent="0.3">
      <c r="A103">
        <v>10553</v>
      </c>
      <c r="B103" s="1">
        <v>46072.389067523152</v>
      </c>
      <c r="C103" t="s">
        <v>15</v>
      </c>
      <c r="D103" t="s">
        <v>16</v>
      </c>
      <c r="E103">
        <v>746.51</v>
      </c>
      <c r="F103" t="s">
        <v>11</v>
      </c>
      <c r="G103" t="s">
        <v>26</v>
      </c>
      <c r="H103" t="s">
        <v>60</v>
      </c>
      <c r="I103" t="s">
        <v>14</v>
      </c>
    </row>
    <row r="104" spans="1:9" x14ac:dyDescent="0.3">
      <c r="A104">
        <v>10554</v>
      </c>
      <c r="B104" s="1">
        <v>46072.868167199071</v>
      </c>
      <c r="C104" t="s">
        <v>19</v>
      </c>
      <c r="D104" t="s">
        <v>20</v>
      </c>
      <c r="E104">
        <v>200.77</v>
      </c>
      <c r="F104" t="s">
        <v>11</v>
      </c>
      <c r="G104" t="s">
        <v>26</v>
      </c>
      <c r="H104" t="s">
        <v>61</v>
      </c>
      <c r="I104" t="s">
        <v>14</v>
      </c>
    </row>
    <row r="105" spans="1:9" x14ac:dyDescent="0.3">
      <c r="A105">
        <v>10555</v>
      </c>
      <c r="B105" s="1">
        <v>46073.347266886572</v>
      </c>
      <c r="C105" t="s">
        <v>24</v>
      </c>
      <c r="D105" t="s">
        <v>25</v>
      </c>
      <c r="E105">
        <v>477.29</v>
      </c>
      <c r="F105" t="s">
        <v>11</v>
      </c>
      <c r="G105" t="s">
        <v>26</v>
      </c>
      <c r="H105" t="s">
        <v>62</v>
      </c>
      <c r="I105" t="s">
        <v>14</v>
      </c>
    </row>
    <row r="106" spans="1:9" x14ac:dyDescent="0.3">
      <c r="A106">
        <v>10556</v>
      </c>
      <c r="B106" s="1">
        <v>46073.826366562498</v>
      </c>
      <c r="C106" t="s">
        <v>29</v>
      </c>
      <c r="D106" t="s">
        <v>30</v>
      </c>
      <c r="E106">
        <v>201.64</v>
      </c>
      <c r="F106" t="s">
        <v>11</v>
      </c>
      <c r="G106" t="s">
        <v>26</v>
      </c>
      <c r="H106" t="s">
        <v>63</v>
      </c>
      <c r="I106" t="s">
        <v>14</v>
      </c>
    </row>
    <row r="107" spans="1:9" x14ac:dyDescent="0.3">
      <c r="A107">
        <v>10557</v>
      </c>
      <c r="B107" s="1">
        <v>46074.305466238417</v>
      </c>
      <c r="C107" t="s">
        <v>9</v>
      </c>
      <c r="D107" t="s">
        <v>10</v>
      </c>
      <c r="E107">
        <v>630.85</v>
      </c>
      <c r="F107" t="s">
        <v>11</v>
      </c>
      <c r="G107" t="s">
        <v>26</v>
      </c>
      <c r="H107" t="s">
        <v>60</v>
      </c>
      <c r="I107" t="s">
        <v>14</v>
      </c>
    </row>
    <row r="108" spans="1:9" x14ac:dyDescent="0.3">
      <c r="A108">
        <v>10558</v>
      </c>
      <c r="B108" s="1">
        <v>46074.78456591435</v>
      </c>
      <c r="C108" t="s">
        <v>15</v>
      </c>
      <c r="D108" t="s">
        <v>16</v>
      </c>
      <c r="E108">
        <v>678.45</v>
      </c>
      <c r="F108" t="s">
        <v>11</v>
      </c>
      <c r="G108" t="s">
        <v>26</v>
      </c>
      <c r="H108" t="s">
        <v>61</v>
      </c>
      <c r="I108" t="s">
        <v>14</v>
      </c>
    </row>
    <row r="109" spans="1:9" x14ac:dyDescent="0.3">
      <c r="A109">
        <v>10559</v>
      </c>
      <c r="B109" s="1">
        <v>46075.263665590282</v>
      </c>
      <c r="C109" t="s">
        <v>19</v>
      </c>
      <c r="D109" t="s">
        <v>20</v>
      </c>
      <c r="E109">
        <v>200.52</v>
      </c>
      <c r="F109" t="s">
        <v>11</v>
      </c>
      <c r="G109" t="s">
        <v>26</v>
      </c>
      <c r="H109" t="s">
        <v>62</v>
      </c>
      <c r="I109" t="s">
        <v>14</v>
      </c>
    </row>
    <row r="110" spans="1:9" x14ac:dyDescent="0.3">
      <c r="A110">
        <v>10560</v>
      </c>
      <c r="B110" s="1">
        <v>46075.742765277777</v>
      </c>
      <c r="C110" t="s">
        <v>24</v>
      </c>
      <c r="D110" t="s">
        <v>25</v>
      </c>
      <c r="E110">
        <v>478.04</v>
      </c>
      <c r="F110" t="s">
        <v>11</v>
      </c>
      <c r="G110" t="s">
        <v>26</v>
      </c>
      <c r="H110" t="s">
        <v>63</v>
      </c>
      <c r="I110" t="s">
        <v>14</v>
      </c>
    </row>
    <row r="111" spans="1:9" x14ac:dyDescent="0.3">
      <c r="A111">
        <v>10561</v>
      </c>
      <c r="B111" s="1">
        <v>46076.221864953703</v>
      </c>
      <c r="C111" t="s">
        <v>29</v>
      </c>
      <c r="D111" t="s">
        <v>30</v>
      </c>
      <c r="E111">
        <v>201.49</v>
      </c>
      <c r="F111" t="s">
        <v>11</v>
      </c>
      <c r="G111" t="s">
        <v>26</v>
      </c>
      <c r="H111" t="s">
        <v>60</v>
      </c>
      <c r="I111" t="s">
        <v>14</v>
      </c>
    </row>
    <row r="112" spans="1:9" x14ac:dyDescent="0.3">
      <c r="A112">
        <v>10562</v>
      </c>
      <c r="B112" s="1">
        <v>46076.700964629628</v>
      </c>
      <c r="C112" t="s">
        <v>9</v>
      </c>
      <c r="D112" t="s">
        <v>10</v>
      </c>
      <c r="E112">
        <v>630.49</v>
      </c>
      <c r="F112" t="s">
        <v>11</v>
      </c>
      <c r="G112" t="s">
        <v>26</v>
      </c>
      <c r="H112" t="s">
        <v>61</v>
      </c>
      <c r="I112" t="s">
        <v>14</v>
      </c>
    </row>
    <row r="113" spans="1:9" x14ac:dyDescent="0.3">
      <c r="A113">
        <v>10563</v>
      </c>
      <c r="B113" s="1">
        <v>46077.180064305547</v>
      </c>
      <c r="C113" t="s">
        <v>15</v>
      </c>
      <c r="D113" t="s">
        <v>16</v>
      </c>
      <c r="E113">
        <v>677.97</v>
      </c>
      <c r="F113" t="s">
        <v>11</v>
      </c>
      <c r="G113" t="s">
        <v>26</v>
      </c>
      <c r="H113" t="s">
        <v>62</v>
      </c>
      <c r="I113" t="s">
        <v>14</v>
      </c>
    </row>
    <row r="114" spans="1:9" x14ac:dyDescent="0.3">
      <c r="A114">
        <v>10564</v>
      </c>
      <c r="B114" s="1">
        <v>46077.65916398148</v>
      </c>
      <c r="C114" t="s">
        <v>19</v>
      </c>
      <c r="D114" t="s">
        <v>20</v>
      </c>
      <c r="E114">
        <v>200.77</v>
      </c>
      <c r="F114" t="s">
        <v>11</v>
      </c>
      <c r="G114" t="s">
        <v>26</v>
      </c>
      <c r="H114" t="s">
        <v>63</v>
      </c>
      <c r="I114" t="s">
        <v>14</v>
      </c>
    </row>
    <row r="115" spans="1:9" x14ac:dyDescent="0.3">
      <c r="A115">
        <v>10565</v>
      </c>
      <c r="B115" s="1">
        <v>46078.138263668981</v>
      </c>
      <c r="C115" t="s">
        <v>24</v>
      </c>
      <c r="D115" t="s">
        <v>25</v>
      </c>
      <c r="E115">
        <v>493.06</v>
      </c>
      <c r="F115" t="s">
        <v>11</v>
      </c>
      <c r="G115" t="s">
        <v>26</v>
      </c>
      <c r="H115" t="s">
        <v>60</v>
      </c>
      <c r="I115" t="s">
        <v>14</v>
      </c>
    </row>
    <row r="116" spans="1:9" x14ac:dyDescent="0.3">
      <c r="A116">
        <v>10566</v>
      </c>
      <c r="B116" s="1">
        <v>46078.617363344907</v>
      </c>
      <c r="C116" t="s">
        <v>29</v>
      </c>
      <c r="D116" t="s">
        <v>30</v>
      </c>
      <c r="E116">
        <v>201.38</v>
      </c>
      <c r="F116" t="s">
        <v>11</v>
      </c>
      <c r="G116" t="s">
        <v>26</v>
      </c>
      <c r="H116" t="s">
        <v>61</v>
      </c>
      <c r="I116" t="s">
        <v>14</v>
      </c>
    </row>
    <row r="117" spans="1:9" x14ac:dyDescent="0.3">
      <c r="A117">
        <v>10567</v>
      </c>
      <c r="B117" s="1">
        <v>46079.096463020833</v>
      </c>
      <c r="C117" t="s">
        <v>9</v>
      </c>
      <c r="D117" t="s">
        <v>10</v>
      </c>
      <c r="E117">
        <v>630.85</v>
      </c>
      <c r="F117" t="s">
        <v>11</v>
      </c>
      <c r="G117" t="s">
        <v>26</v>
      </c>
      <c r="H117" t="s">
        <v>62</v>
      </c>
      <c r="I117" t="s">
        <v>14</v>
      </c>
    </row>
    <row r="118" spans="1:9" x14ac:dyDescent="0.3">
      <c r="A118">
        <v>10568</v>
      </c>
      <c r="B118" s="1">
        <v>46079.575562696758</v>
      </c>
      <c r="C118" t="s">
        <v>15</v>
      </c>
      <c r="D118" t="s">
        <v>16</v>
      </c>
      <c r="E118">
        <v>677.97</v>
      </c>
      <c r="F118" t="s">
        <v>11</v>
      </c>
      <c r="G118" t="s">
        <v>26</v>
      </c>
      <c r="H118" t="s">
        <v>63</v>
      </c>
      <c r="I118" t="s">
        <v>14</v>
      </c>
    </row>
    <row r="119" spans="1:9" x14ac:dyDescent="0.3">
      <c r="A119">
        <v>10569</v>
      </c>
      <c r="B119" s="1">
        <v>46080.05466238426</v>
      </c>
      <c r="C119" t="s">
        <v>19</v>
      </c>
      <c r="D119" t="s">
        <v>20</v>
      </c>
      <c r="E119">
        <v>200.88</v>
      </c>
      <c r="F119" t="s">
        <v>11</v>
      </c>
      <c r="G119" t="s">
        <v>26</v>
      </c>
      <c r="H119" t="s">
        <v>60</v>
      </c>
      <c r="I119" t="s">
        <v>14</v>
      </c>
    </row>
    <row r="120" spans="1:9" x14ac:dyDescent="0.3">
      <c r="A120">
        <v>10570</v>
      </c>
      <c r="B120" s="1">
        <v>46080.533762060193</v>
      </c>
      <c r="C120" t="s">
        <v>24</v>
      </c>
      <c r="D120" t="s">
        <v>25</v>
      </c>
      <c r="E120">
        <v>493.44</v>
      </c>
      <c r="F120" t="s">
        <v>11</v>
      </c>
      <c r="G120" t="s">
        <v>26</v>
      </c>
      <c r="H120" t="s">
        <v>61</v>
      </c>
      <c r="I120" t="s">
        <v>14</v>
      </c>
    </row>
    <row r="121" spans="1:9" x14ac:dyDescent="0.3">
      <c r="A121">
        <v>10571</v>
      </c>
      <c r="B121" s="1">
        <v>46081.012861736112</v>
      </c>
      <c r="C121" t="s">
        <v>29</v>
      </c>
      <c r="D121" t="s">
        <v>30</v>
      </c>
      <c r="E121">
        <v>201.49</v>
      </c>
      <c r="F121" t="s">
        <v>11</v>
      </c>
      <c r="G121" t="s">
        <v>26</v>
      </c>
      <c r="H121" t="s">
        <v>62</v>
      </c>
      <c r="I121" t="s">
        <v>14</v>
      </c>
    </row>
    <row r="122" spans="1:9" x14ac:dyDescent="0.3">
      <c r="A122">
        <v>10572</v>
      </c>
      <c r="B122" s="1">
        <v>46081.491961412037</v>
      </c>
      <c r="C122" t="s">
        <v>9</v>
      </c>
      <c r="D122" t="s">
        <v>10</v>
      </c>
      <c r="E122">
        <v>573.07000000000005</v>
      </c>
      <c r="F122" t="s">
        <v>11</v>
      </c>
      <c r="G122" t="s">
        <v>26</v>
      </c>
      <c r="H122" t="s">
        <v>35</v>
      </c>
      <c r="I122" t="s">
        <v>33</v>
      </c>
    </row>
    <row r="123" spans="1:9" x14ac:dyDescent="0.3">
      <c r="A123">
        <v>10573</v>
      </c>
      <c r="B123" s="1">
        <v>46081.971061087963</v>
      </c>
      <c r="C123" t="s">
        <v>15</v>
      </c>
      <c r="D123" t="s">
        <v>16</v>
      </c>
      <c r="E123">
        <v>677.97</v>
      </c>
      <c r="F123" t="s">
        <v>11</v>
      </c>
      <c r="G123" t="s">
        <v>26</v>
      </c>
      <c r="H123" t="s">
        <v>36</v>
      </c>
      <c r="I123" t="s">
        <v>33</v>
      </c>
    </row>
    <row r="124" spans="1:9" x14ac:dyDescent="0.3">
      <c r="A124">
        <v>10574</v>
      </c>
      <c r="B124" s="1">
        <v>46082.450160775457</v>
      </c>
      <c r="C124" t="s">
        <v>19</v>
      </c>
      <c r="D124" t="s">
        <v>20</v>
      </c>
      <c r="E124">
        <v>201.15</v>
      </c>
      <c r="F124" t="s">
        <v>11</v>
      </c>
      <c r="G124" t="s">
        <v>26</v>
      </c>
      <c r="H124" t="s">
        <v>37</v>
      </c>
      <c r="I124" t="s">
        <v>33</v>
      </c>
    </row>
    <row r="125" spans="1:9" x14ac:dyDescent="0.3">
      <c r="A125">
        <v>10575</v>
      </c>
      <c r="B125" s="1">
        <v>46082.92926045139</v>
      </c>
      <c r="C125" t="s">
        <v>24</v>
      </c>
      <c r="D125" t="s">
        <v>25</v>
      </c>
      <c r="E125">
        <v>523.48</v>
      </c>
      <c r="F125" t="s">
        <v>11</v>
      </c>
      <c r="G125" t="s">
        <v>26</v>
      </c>
      <c r="H125" t="s">
        <v>38</v>
      </c>
      <c r="I125" t="s">
        <v>33</v>
      </c>
    </row>
    <row r="126" spans="1:9" x14ac:dyDescent="0.3">
      <c r="A126">
        <v>10576</v>
      </c>
      <c r="B126" s="1">
        <v>46083.408360127323</v>
      </c>
      <c r="C126" t="s">
        <v>29</v>
      </c>
      <c r="D126" t="s">
        <v>30</v>
      </c>
      <c r="E126">
        <v>201.01</v>
      </c>
      <c r="F126" t="s">
        <v>11</v>
      </c>
      <c r="G126" t="s">
        <v>26</v>
      </c>
      <c r="H126" t="s">
        <v>35</v>
      </c>
      <c r="I126" t="s">
        <v>33</v>
      </c>
    </row>
    <row r="127" spans="1:9" x14ac:dyDescent="0.3">
      <c r="A127">
        <v>10577</v>
      </c>
      <c r="B127" s="1">
        <v>46083.887459803242</v>
      </c>
      <c r="C127" t="s">
        <v>9</v>
      </c>
      <c r="D127" t="s">
        <v>10</v>
      </c>
      <c r="E127">
        <v>630.74</v>
      </c>
      <c r="F127" t="s">
        <v>11</v>
      </c>
      <c r="G127" t="s">
        <v>26</v>
      </c>
      <c r="H127" t="s">
        <v>36</v>
      </c>
      <c r="I127" t="s">
        <v>33</v>
      </c>
    </row>
    <row r="128" spans="1:9" x14ac:dyDescent="0.3">
      <c r="A128">
        <v>10578</v>
      </c>
      <c r="B128" s="1">
        <v>46084.366559490743</v>
      </c>
      <c r="C128" t="s">
        <v>15</v>
      </c>
      <c r="D128" t="s">
        <v>16</v>
      </c>
      <c r="E128">
        <v>678.72</v>
      </c>
      <c r="F128" t="s">
        <v>11</v>
      </c>
      <c r="G128" t="s">
        <v>26</v>
      </c>
      <c r="H128" t="s">
        <v>37</v>
      </c>
      <c r="I128" t="s">
        <v>33</v>
      </c>
    </row>
    <row r="129" spans="1:9" x14ac:dyDescent="0.3">
      <c r="A129">
        <v>10579</v>
      </c>
      <c r="B129" s="1">
        <v>46084.845659166669</v>
      </c>
      <c r="C129" t="s">
        <v>19</v>
      </c>
      <c r="D129" t="s">
        <v>20</v>
      </c>
      <c r="E129">
        <v>200.65</v>
      </c>
      <c r="F129" t="s">
        <v>11</v>
      </c>
      <c r="G129" t="s">
        <v>26</v>
      </c>
      <c r="H129" t="s">
        <v>38</v>
      </c>
      <c r="I129" t="s">
        <v>33</v>
      </c>
    </row>
    <row r="130" spans="1:9" x14ac:dyDescent="0.3">
      <c r="A130">
        <v>10580</v>
      </c>
      <c r="B130" s="1">
        <v>46085.324758842587</v>
      </c>
      <c r="C130" t="s">
        <v>24</v>
      </c>
      <c r="D130" t="s">
        <v>25</v>
      </c>
      <c r="E130">
        <v>523.73</v>
      </c>
      <c r="F130" t="s">
        <v>11</v>
      </c>
      <c r="G130" t="s">
        <v>26</v>
      </c>
      <c r="H130" t="s">
        <v>35</v>
      </c>
      <c r="I130" t="s">
        <v>33</v>
      </c>
    </row>
    <row r="131" spans="1:9" x14ac:dyDescent="0.3">
      <c r="A131">
        <v>10581</v>
      </c>
      <c r="B131" s="1">
        <v>46085.80385851852</v>
      </c>
      <c r="C131" t="s">
        <v>29</v>
      </c>
      <c r="D131" t="s">
        <v>30</v>
      </c>
      <c r="E131">
        <v>201.01</v>
      </c>
      <c r="F131" t="s">
        <v>11</v>
      </c>
      <c r="G131" t="s">
        <v>26</v>
      </c>
      <c r="H131" t="s">
        <v>36</v>
      </c>
      <c r="I131" t="s">
        <v>33</v>
      </c>
    </row>
    <row r="132" spans="1:9" x14ac:dyDescent="0.3">
      <c r="A132">
        <v>10582</v>
      </c>
      <c r="B132" s="1">
        <v>46086.282958194453</v>
      </c>
      <c r="C132" t="s">
        <v>9</v>
      </c>
      <c r="D132" t="s">
        <v>10</v>
      </c>
      <c r="E132">
        <v>630.62</v>
      </c>
      <c r="F132" t="s">
        <v>11</v>
      </c>
      <c r="G132" t="s">
        <v>26</v>
      </c>
      <c r="H132" t="s">
        <v>61</v>
      </c>
      <c r="I132" t="s">
        <v>14</v>
      </c>
    </row>
    <row r="133" spans="1:9" x14ac:dyDescent="0.3">
      <c r="A133">
        <v>10583</v>
      </c>
      <c r="B133" s="1">
        <v>46086.762057881948</v>
      </c>
      <c r="C133" t="s">
        <v>15</v>
      </c>
      <c r="D133" t="s">
        <v>16</v>
      </c>
      <c r="E133">
        <v>678.22</v>
      </c>
      <c r="F133" t="s">
        <v>11</v>
      </c>
      <c r="G133" t="s">
        <v>26</v>
      </c>
      <c r="H133" t="s">
        <v>62</v>
      </c>
      <c r="I133" t="s">
        <v>14</v>
      </c>
    </row>
    <row r="134" spans="1:9" x14ac:dyDescent="0.3">
      <c r="A134">
        <v>10584</v>
      </c>
      <c r="B134" s="1">
        <v>46087.241157557874</v>
      </c>
      <c r="C134" t="s">
        <v>19</v>
      </c>
      <c r="D134" t="s">
        <v>20</v>
      </c>
      <c r="E134">
        <v>200.4</v>
      </c>
      <c r="F134" t="s">
        <v>11</v>
      </c>
      <c r="G134" t="s">
        <v>26</v>
      </c>
      <c r="H134" t="s">
        <v>63</v>
      </c>
      <c r="I134" t="s">
        <v>14</v>
      </c>
    </row>
    <row r="135" spans="1:9" x14ac:dyDescent="0.3">
      <c r="A135">
        <v>10585</v>
      </c>
      <c r="B135" s="1">
        <v>46087.720257233799</v>
      </c>
      <c r="C135" t="s">
        <v>24</v>
      </c>
      <c r="D135" t="s">
        <v>25</v>
      </c>
      <c r="E135">
        <v>539.13</v>
      </c>
      <c r="F135" t="s">
        <v>11</v>
      </c>
      <c r="G135" t="s">
        <v>26</v>
      </c>
      <c r="H135" t="s">
        <v>60</v>
      </c>
      <c r="I135" t="s">
        <v>14</v>
      </c>
    </row>
    <row r="136" spans="1:9" x14ac:dyDescent="0.3">
      <c r="A136">
        <v>10586</v>
      </c>
      <c r="B136" s="1">
        <v>46088.199356909718</v>
      </c>
      <c r="C136" t="s">
        <v>29</v>
      </c>
      <c r="D136" t="s">
        <v>30</v>
      </c>
      <c r="E136">
        <v>201.49</v>
      </c>
      <c r="F136" t="s">
        <v>11</v>
      </c>
      <c r="G136" t="s">
        <v>26</v>
      </c>
      <c r="H136" t="s">
        <v>61</v>
      </c>
      <c r="I136" t="s">
        <v>14</v>
      </c>
    </row>
    <row r="137" spans="1:9" x14ac:dyDescent="0.3">
      <c r="A137">
        <v>10537</v>
      </c>
      <c r="B137" s="1">
        <v>46088.678456597219</v>
      </c>
      <c r="C137" t="s">
        <v>9</v>
      </c>
      <c r="D137" t="s">
        <v>10</v>
      </c>
      <c r="E137">
        <v>630.49</v>
      </c>
      <c r="F137" t="s">
        <v>57</v>
      </c>
      <c r="G137" t="s">
        <v>26</v>
      </c>
      <c r="H137" t="s">
        <v>41</v>
      </c>
      <c r="I137" t="s">
        <v>18</v>
      </c>
    </row>
    <row r="138" spans="1:9" x14ac:dyDescent="0.3">
      <c r="A138">
        <v>10538</v>
      </c>
      <c r="B138" s="1">
        <v>46089.157556273152</v>
      </c>
      <c r="C138" t="s">
        <v>15</v>
      </c>
      <c r="D138" t="s">
        <v>16</v>
      </c>
      <c r="E138">
        <v>746.51</v>
      </c>
      <c r="F138" t="s">
        <v>57</v>
      </c>
      <c r="G138" t="s">
        <v>26</v>
      </c>
      <c r="H138" t="s">
        <v>42</v>
      </c>
      <c r="I138" t="s">
        <v>18</v>
      </c>
    </row>
    <row r="139" spans="1:9" x14ac:dyDescent="0.3">
      <c r="A139">
        <v>10539</v>
      </c>
      <c r="B139" s="1">
        <v>46089.636655949071</v>
      </c>
      <c r="C139" t="s">
        <v>19</v>
      </c>
      <c r="D139" t="s">
        <v>20</v>
      </c>
      <c r="E139">
        <v>200.52</v>
      </c>
      <c r="F139" t="s">
        <v>57</v>
      </c>
      <c r="G139" t="s">
        <v>26</v>
      </c>
      <c r="H139" t="s">
        <v>17</v>
      </c>
      <c r="I139" t="s">
        <v>18</v>
      </c>
    </row>
    <row r="140" spans="1:9" x14ac:dyDescent="0.3">
      <c r="A140">
        <v>10590</v>
      </c>
      <c r="B140" s="1">
        <v>46090.115755624996</v>
      </c>
      <c r="C140" t="s">
        <v>24</v>
      </c>
      <c r="D140" t="s">
        <v>25</v>
      </c>
      <c r="E140">
        <v>554.27</v>
      </c>
      <c r="F140" t="s">
        <v>11</v>
      </c>
      <c r="G140" t="s">
        <v>26</v>
      </c>
      <c r="H140" t="s">
        <v>61</v>
      </c>
      <c r="I140" t="s">
        <v>14</v>
      </c>
    </row>
    <row r="141" spans="1:9" x14ac:dyDescent="0.3">
      <c r="A141">
        <v>10591</v>
      </c>
      <c r="B141" s="1">
        <v>46090.594855300929</v>
      </c>
      <c r="C141" t="s">
        <v>29</v>
      </c>
      <c r="D141" t="s">
        <v>30</v>
      </c>
      <c r="E141">
        <v>201.38</v>
      </c>
      <c r="F141" t="s">
        <v>11</v>
      </c>
      <c r="G141" t="s">
        <v>26</v>
      </c>
      <c r="H141" t="s">
        <v>62</v>
      </c>
      <c r="I141" t="s">
        <v>14</v>
      </c>
    </row>
    <row r="142" spans="1:9" x14ac:dyDescent="0.3">
      <c r="A142">
        <v>10592</v>
      </c>
      <c r="B142" s="1">
        <v>46091.073954988417</v>
      </c>
      <c r="C142" t="s">
        <v>9</v>
      </c>
      <c r="D142" t="s">
        <v>10</v>
      </c>
      <c r="E142">
        <v>573.82000000000005</v>
      </c>
      <c r="F142" t="s">
        <v>11</v>
      </c>
      <c r="G142" t="s">
        <v>26</v>
      </c>
      <c r="H142" t="s">
        <v>63</v>
      </c>
      <c r="I142" t="s">
        <v>14</v>
      </c>
    </row>
    <row r="143" spans="1:9" x14ac:dyDescent="0.3">
      <c r="A143">
        <v>10593</v>
      </c>
      <c r="B143" s="1">
        <v>46091.553054664349</v>
      </c>
      <c r="C143" t="s">
        <v>15</v>
      </c>
      <c r="D143" t="s">
        <v>16</v>
      </c>
      <c r="E143">
        <v>677.97</v>
      </c>
      <c r="F143" t="s">
        <v>11</v>
      </c>
      <c r="G143" t="s">
        <v>26</v>
      </c>
      <c r="H143" t="s">
        <v>60</v>
      </c>
      <c r="I143" t="s">
        <v>14</v>
      </c>
    </row>
    <row r="144" spans="1:9" x14ac:dyDescent="0.3">
      <c r="A144">
        <v>10594</v>
      </c>
      <c r="B144" s="1">
        <v>46092.032154340282</v>
      </c>
      <c r="C144" t="s">
        <v>19</v>
      </c>
      <c r="D144" t="s">
        <v>20</v>
      </c>
      <c r="E144">
        <v>200.77</v>
      </c>
      <c r="F144" t="s">
        <v>11</v>
      </c>
      <c r="G144" t="s">
        <v>26</v>
      </c>
      <c r="H144" t="s">
        <v>61</v>
      </c>
      <c r="I144" t="s">
        <v>14</v>
      </c>
    </row>
    <row r="145" spans="1:9" x14ac:dyDescent="0.3">
      <c r="A145">
        <v>10595</v>
      </c>
      <c r="B145" s="1">
        <v>46092.511254016201</v>
      </c>
      <c r="C145" t="s">
        <v>24</v>
      </c>
      <c r="D145" t="s">
        <v>25</v>
      </c>
      <c r="E145">
        <v>539</v>
      </c>
      <c r="F145" t="s">
        <v>11</v>
      </c>
      <c r="G145" t="s">
        <v>26</v>
      </c>
      <c r="H145" t="s">
        <v>62</v>
      </c>
      <c r="I145" t="s">
        <v>14</v>
      </c>
    </row>
    <row r="146" spans="1:9" x14ac:dyDescent="0.3">
      <c r="A146">
        <v>10596</v>
      </c>
      <c r="B146" s="1">
        <v>46092.990353692127</v>
      </c>
      <c r="C146" t="s">
        <v>29</v>
      </c>
      <c r="D146" t="s">
        <v>30</v>
      </c>
      <c r="E146">
        <v>201.01</v>
      </c>
      <c r="F146" t="s">
        <v>11</v>
      </c>
      <c r="G146" t="s">
        <v>26</v>
      </c>
      <c r="H146" t="s">
        <v>63</v>
      </c>
      <c r="I146" t="s">
        <v>14</v>
      </c>
    </row>
    <row r="147" spans="1:9" x14ac:dyDescent="0.3">
      <c r="A147">
        <v>10597</v>
      </c>
      <c r="B147" s="1">
        <v>46093.469453379628</v>
      </c>
      <c r="C147" t="s">
        <v>9</v>
      </c>
      <c r="D147" t="s">
        <v>10</v>
      </c>
      <c r="E147">
        <v>573.82000000000005</v>
      </c>
      <c r="F147" t="s">
        <v>11</v>
      </c>
      <c r="G147" t="s">
        <v>26</v>
      </c>
      <c r="H147" t="s">
        <v>60</v>
      </c>
      <c r="I147" t="s">
        <v>14</v>
      </c>
    </row>
    <row r="148" spans="1:9" x14ac:dyDescent="0.3">
      <c r="A148">
        <v>10598</v>
      </c>
      <c r="B148" s="1">
        <v>46093.948553055547</v>
      </c>
      <c r="C148" t="s">
        <v>15</v>
      </c>
      <c r="D148" t="s">
        <v>16</v>
      </c>
      <c r="E148">
        <v>678.72</v>
      </c>
      <c r="F148" t="s">
        <v>11</v>
      </c>
      <c r="G148" t="s">
        <v>26</v>
      </c>
      <c r="H148" t="s">
        <v>61</v>
      </c>
      <c r="I148" t="s">
        <v>14</v>
      </c>
    </row>
    <row r="149" spans="1:9" x14ac:dyDescent="0.3">
      <c r="A149">
        <v>10599</v>
      </c>
      <c r="B149" s="1">
        <v>46094.42765273148</v>
      </c>
      <c r="C149" t="s">
        <v>19</v>
      </c>
      <c r="D149" t="s">
        <v>20</v>
      </c>
      <c r="E149">
        <v>201.03</v>
      </c>
      <c r="F149" t="s">
        <v>11</v>
      </c>
      <c r="G149" t="s">
        <v>26</v>
      </c>
      <c r="H149" t="s">
        <v>62</v>
      </c>
      <c r="I149" t="s">
        <v>14</v>
      </c>
    </row>
    <row r="150" spans="1:9" x14ac:dyDescent="0.3">
      <c r="A150">
        <v>10600</v>
      </c>
      <c r="B150" s="1">
        <v>46094.906752407413</v>
      </c>
      <c r="C150" t="s">
        <v>24</v>
      </c>
      <c r="D150" t="s">
        <v>25</v>
      </c>
      <c r="E150">
        <v>523.96</v>
      </c>
      <c r="F150" t="s">
        <v>11</v>
      </c>
      <c r="G150" t="s">
        <v>26</v>
      </c>
      <c r="H150" t="s">
        <v>63</v>
      </c>
      <c r="I150" t="s">
        <v>14</v>
      </c>
    </row>
    <row r="151" spans="1:9" x14ac:dyDescent="0.3">
      <c r="A151">
        <v>10601</v>
      </c>
      <c r="B151" s="1">
        <v>46095.385852094907</v>
      </c>
      <c r="C151" t="s">
        <v>29</v>
      </c>
      <c r="D151" t="s">
        <v>30</v>
      </c>
      <c r="E151">
        <v>201.26</v>
      </c>
      <c r="F151" t="s">
        <v>11</v>
      </c>
      <c r="G151" t="s">
        <v>26</v>
      </c>
      <c r="H151" t="s">
        <v>60</v>
      </c>
      <c r="I151" t="s">
        <v>14</v>
      </c>
    </row>
    <row r="152" spans="1:9" x14ac:dyDescent="0.3">
      <c r="A152">
        <v>10602</v>
      </c>
      <c r="B152" s="1">
        <v>46095.864951770833</v>
      </c>
      <c r="C152" t="s">
        <v>9</v>
      </c>
      <c r="D152" t="s">
        <v>10</v>
      </c>
      <c r="E152">
        <v>630.74</v>
      </c>
      <c r="F152" t="s">
        <v>11</v>
      </c>
      <c r="G152" t="s">
        <v>58</v>
      </c>
      <c r="H152" t="s">
        <v>61</v>
      </c>
      <c r="I152" t="s">
        <v>14</v>
      </c>
    </row>
    <row r="153" spans="1:9" x14ac:dyDescent="0.3">
      <c r="A153">
        <v>10603</v>
      </c>
      <c r="B153" s="1">
        <v>46096.344051446758</v>
      </c>
      <c r="C153" t="s">
        <v>15</v>
      </c>
      <c r="D153" t="s">
        <v>16</v>
      </c>
      <c r="E153">
        <v>678.6</v>
      </c>
      <c r="F153" t="s">
        <v>11</v>
      </c>
      <c r="G153" t="s">
        <v>58</v>
      </c>
      <c r="H153" t="s">
        <v>62</v>
      </c>
      <c r="I153" t="s">
        <v>14</v>
      </c>
    </row>
    <row r="154" spans="1:9" x14ac:dyDescent="0.3">
      <c r="A154">
        <v>10604</v>
      </c>
      <c r="B154" s="1">
        <v>46096.823151122677</v>
      </c>
      <c r="C154" t="s">
        <v>19</v>
      </c>
      <c r="D154" t="s">
        <v>20</v>
      </c>
      <c r="E154">
        <v>200.65</v>
      </c>
      <c r="F154" t="s">
        <v>11</v>
      </c>
      <c r="G154" t="s">
        <v>58</v>
      </c>
      <c r="H154" t="s">
        <v>63</v>
      </c>
      <c r="I154" t="s">
        <v>14</v>
      </c>
    </row>
    <row r="155" spans="1:9" x14ac:dyDescent="0.3">
      <c r="A155">
        <v>10605</v>
      </c>
      <c r="B155" s="1">
        <v>46097.30225079861</v>
      </c>
      <c r="C155" t="s">
        <v>24</v>
      </c>
      <c r="D155" t="s">
        <v>25</v>
      </c>
      <c r="E155">
        <v>539.13</v>
      </c>
      <c r="F155" t="s">
        <v>11</v>
      </c>
      <c r="G155" t="s">
        <v>58</v>
      </c>
      <c r="H155" t="s">
        <v>60</v>
      </c>
      <c r="I155" t="s">
        <v>14</v>
      </c>
    </row>
    <row r="156" spans="1:9" x14ac:dyDescent="0.3">
      <c r="A156">
        <v>10606</v>
      </c>
      <c r="B156" s="1">
        <v>46097.781350486111</v>
      </c>
      <c r="C156" t="s">
        <v>29</v>
      </c>
      <c r="D156" t="s">
        <v>30</v>
      </c>
      <c r="E156">
        <v>201.01</v>
      </c>
      <c r="F156" t="s">
        <v>11</v>
      </c>
      <c r="G156" t="s">
        <v>58</v>
      </c>
      <c r="H156" t="s">
        <v>61</v>
      </c>
      <c r="I156" t="s">
        <v>14</v>
      </c>
    </row>
    <row r="157" spans="1:9" x14ac:dyDescent="0.3">
      <c r="A157">
        <v>10607</v>
      </c>
      <c r="B157" s="1">
        <v>46098.260450162037</v>
      </c>
      <c r="C157" t="s">
        <v>9</v>
      </c>
      <c r="D157" t="s">
        <v>10</v>
      </c>
      <c r="E157">
        <v>630.62</v>
      </c>
      <c r="F157" t="s">
        <v>11</v>
      </c>
      <c r="G157" t="s">
        <v>58</v>
      </c>
      <c r="H157" t="s">
        <v>62</v>
      </c>
      <c r="I157" t="s">
        <v>14</v>
      </c>
    </row>
    <row r="158" spans="1:9" x14ac:dyDescent="0.3">
      <c r="A158">
        <v>10608</v>
      </c>
      <c r="B158" s="1">
        <v>46098.739549837963</v>
      </c>
      <c r="C158" t="s">
        <v>15</v>
      </c>
      <c r="D158" t="s">
        <v>16</v>
      </c>
      <c r="E158">
        <v>678.45</v>
      </c>
      <c r="F158" t="s">
        <v>11</v>
      </c>
      <c r="G158" t="s">
        <v>12</v>
      </c>
      <c r="H158" t="s">
        <v>63</v>
      </c>
      <c r="I158" t="s">
        <v>14</v>
      </c>
    </row>
    <row r="159" spans="1:9" x14ac:dyDescent="0.3">
      <c r="A159">
        <v>10609</v>
      </c>
      <c r="B159" s="1">
        <v>46099.218649513889</v>
      </c>
      <c r="C159" t="s">
        <v>19</v>
      </c>
      <c r="D159" t="s">
        <v>20</v>
      </c>
      <c r="E159">
        <v>201.15</v>
      </c>
      <c r="F159" t="s">
        <v>11</v>
      </c>
      <c r="G159" t="s">
        <v>12</v>
      </c>
      <c r="H159" t="s">
        <v>60</v>
      </c>
      <c r="I159" t="s">
        <v>14</v>
      </c>
    </row>
    <row r="160" spans="1:9" x14ac:dyDescent="0.3">
      <c r="A160">
        <v>10610</v>
      </c>
      <c r="B160" s="1">
        <v>46099.69774920139</v>
      </c>
      <c r="C160" t="s">
        <v>24</v>
      </c>
      <c r="D160" t="s">
        <v>25</v>
      </c>
      <c r="E160">
        <v>570.29999999999995</v>
      </c>
      <c r="F160" t="s">
        <v>11</v>
      </c>
      <c r="G160" t="s">
        <v>12</v>
      </c>
      <c r="H160" t="s">
        <v>61</v>
      </c>
      <c r="I160" t="s">
        <v>14</v>
      </c>
    </row>
    <row r="161" spans="1:9" x14ac:dyDescent="0.3">
      <c r="A161">
        <v>10611</v>
      </c>
      <c r="B161" s="1">
        <v>46100.176848877323</v>
      </c>
      <c r="C161" t="s">
        <v>29</v>
      </c>
      <c r="D161" t="s">
        <v>30</v>
      </c>
      <c r="E161">
        <v>201.26</v>
      </c>
      <c r="F161" t="s">
        <v>11</v>
      </c>
      <c r="G161" t="s">
        <v>12</v>
      </c>
      <c r="H161" t="s">
        <v>62</v>
      </c>
      <c r="I161" t="s">
        <v>14</v>
      </c>
    </row>
    <row r="162" spans="1:9" x14ac:dyDescent="0.3">
      <c r="A162">
        <v>10612</v>
      </c>
      <c r="B162" s="1">
        <v>46100.655948553242</v>
      </c>
      <c r="C162" t="s">
        <v>9</v>
      </c>
      <c r="D162" t="s">
        <v>10</v>
      </c>
      <c r="E162">
        <v>630.37</v>
      </c>
      <c r="F162" t="s">
        <v>11</v>
      </c>
      <c r="G162" t="s">
        <v>12</v>
      </c>
      <c r="H162" t="s">
        <v>63</v>
      </c>
      <c r="I162" t="s">
        <v>14</v>
      </c>
    </row>
    <row r="163" spans="1:9" x14ac:dyDescent="0.3">
      <c r="A163">
        <v>10613</v>
      </c>
      <c r="B163" s="1">
        <v>46101.135048229167</v>
      </c>
      <c r="C163" t="s">
        <v>15</v>
      </c>
      <c r="D163" t="s">
        <v>16</v>
      </c>
      <c r="E163">
        <v>678.45</v>
      </c>
      <c r="F163" t="s">
        <v>11</v>
      </c>
      <c r="G163" t="s">
        <v>12</v>
      </c>
      <c r="H163" t="s">
        <v>60</v>
      </c>
      <c r="I163" t="s">
        <v>14</v>
      </c>
    </row>
    <row r="164" spans="1:9" x14ac:dyDescent="0.3">
      <c r="A164">
        <v>10614</v>
      </c>
      <c r="B164" s="1">
        <v>46101.614147905093</v>
      </c>
      <c r="C164" t="s">
        <v>19</v>
      </c>
      <c r="D164" t="s">
        <v>20</v>
      </c>
      <c r="E164">
        <v>200.52</v>
      </c>
      <c r="F164" t="s">
        <v>11</v>
      </c>
      <c r="G164" t="s">
        <v>12</v>
      </c>
      <c r="H164" t="s">
        <v>61</v>
      </c>
      <c r="I164" t="s">
        <v>14</v>
      </c>
    </row>
    <row r="165" spans="1:9" x14ac:dyDescent="0.3">
      <c r="A165">
        <v>10615</v>
      </c>
      <c r="B165" s="1">
        <v>46102.093247592587</v>
      </c>
      <c r="C165" t="s">
        <v>24</v>
      </c>
      <c r="D165" t="s">
        <v>25</v>
      </c>
      <c r="E165">
        <v>570.41999999999996</v>
      </c>
      <c r="F165" t="s">
        <v>11</v>
      </c>
      <c r="G165" t="s">
        <v>12</v>
      </c>
      <c r="H165" t="s">
        <v>62</v>
      </c>
      <c r="I165" t="s">
        <v>14</v>
      </c>
    </row>
    <row r="166" spans="1:9" x14ac:dyDescent="0.3">
      <c r="A166">
        <v>10616</v>
      </c>
      <c r="B166" s="1">
        <v>46102.57234726852</v>
      </c>
      <c r="C166" t="s">
        <v>29</v>
      </c>
      <c r="D166" t="s">
        <v>30</v>
      </c>
      <c r="E166">
        <v>201.76</v>
      </c>
      <c r="F166" t="s">
        <v>11</v>
      </c>
      <c r="G166" t="s">
        <v>12</v>
      </c>
      <c r="H166" t="s">
        <v>63</v>
      </c>
      <c r="I166" t="s">
        <v>14</v>
      </c>
    </row>
    <row r="167" spans="1:9" x14ac:dyDescent="0.3">
      <c r="A167">
        <v>10617</v>
      </c>
      <c r="B167" s="1">
        <v>46103.051446944453</v>
      </c>
      <c r="C167" t="s">
        <v>9</v>
      </c>
      <c r="D167" t="s">
        <v>10</v>
      </c>
      <c r="E167">
        <v>631</v>
      </c>
      <c r="F167" t="s">
        <v>11</v>
      </c>
      <c r="G167" t="s">
        <v>12</v>
      </c>
      <c r="H167" t="s">
        <v>60</v>
      </c>
      <c r="I167" t="s">
        <v>14</v>
      </c>
    </row>
    <row r="168" spans="1:9" x14ac:dyDescent="0.3">
      <c r="A168">
        <v>10618</v>
      </c>
      <c r="B168" s="1">
        <v>46103.530546620372</v>
      </c>
      <c r="C168" t="s">
        <v>15</v>
      </c>
      <c r="D168" t="s">
        <v>16</v>
      </c>
      <c r="E168">
        <v>678.72</v>
      </c>
      <c r="F168" t="s">
        <v>11</v>
      </c>
      <c r="G168" t="s">
        <v>12</v>
      </c>
      <c r="H168" t="s">
        <v>61</v>
      </c>
      <c r="I168" t="s">
        <v>14</v>
      </c>
    </row>
    <row r="169" spans="1:9" x14ac:dyDescent="0.3">
      <c r="A169">
        <v>10619</v>
      </c>
      <c r="B169" s="1">
        <v>46104.009646307873</v>
      </c>
      <c r="C169" t="s">
        <v>19</v>
      </c>
      <c r="D169" t="s">
        <v>20</v>
      </c>
      <c r="E169">
        <v>200.65</v>
      </c>
      <c r="F169" t="s">
        <v>11</v>
      </c>
      <c r="G169" t="s">
        <v>12</v>
      </c>
      <c r="H169" t="s">
        <v>62</v>
      </c>
      <c r="I169" t="s">
        <v>14</v>
      </c>
    </row>
    <row r="170" spans="1:9" x14ac:dyDescent="0.3">
      <c r="A170">
        <v>10620</v>
      </c>
      <c r="B170" s="1">
        <v>46104.488745983799</v>
      </c>
      <c r="C170" t="s">
        <v>24</v>
      </c>
      <c r="D170" t="s">
        <v>25</v>
      </c>
      <c r="E170">
        <v>585.07000000000005</v>
      </c>
      <c r="F170" t="s">
        <v>11</v>
      </c>
      <c r="G170" t="s">
        <v>12</v>
      </c>
      <c r="H170" t="s">
        <v>63</v>
      </c>
      <c r="I170" t="s">
        <v>14</v>
      </c>
    </row>
    <row r="171" spans="1:9" x14ac:dyDescent="0.3">
      <c r="A171">
        <v>10621</v>
      </c>
      <c r="B171" s="1">
        <v>46104.967845659718</v>
      </c>
      <c r="C171" t="s">
        <v>29</v>
      </c>
      <c r="D171" t="s">
        <v>30</v>
      </c>
      <c r="E171">
        <v>201.76</v>
      </c>
      <c r="F171" t="s">
        <v>11</v>
      </c>
      <c r="G171" t="s">
        <v>12</v>
      </c>
      <c r="H171" t="s">
        <v>60</v>
      </c>
      <c r="I171" t="s">
        <v>14</v>
      </c>
    </row>
    <row r="172" spans="1:9" x14ac:dyDescent="0.3">
      <c r="A172">
        <v>10622</v>
      </c>
      <c r="B172" s="1">
        <v>46105.446945335651</v>
      </c>
      <c r="C172" t="s">
        <v>9</v>
      </c>
      <c r="D172" t="s">
        <v>10</v>
      </c>
      <c r="E172">
        <v>631.12</v>
      </c>
      <c r="F172" t="s">
        <v>11</v>
      </c>
      <c r="G172" t="s">
        <v>12</v>
      </c>
      <c r="H172" t="s">
        <v>61</v>
      </c>
      <c r="I172" t="s">
        <v>14</v>
      </c>
    </row>
    <row r="173" spans="1:9" x14ac:dyDescent="0.3">
      <c r="A173">
        <v>10623</v>
      </c>
      <c r="B173" s="1">
        <v>46105.926045011583</v>
      </c>
      <c r="C173" t="s">
        <v>15</v>
      </c>
      <c r="D173" t="s">
        <v>16</v>
      </c>
      <c r="E173">
        <v>745.88</v>
      </c>
      <c r="F173" t="s">
        <v>11</v>
      </c>
      <c r="G173" t="s">
        <v>12</v>
      </c>
      <c r="H173" t="s">
        <v>62</v>
      </c>
      <c r="I173" t="s">
        <v>14</v>
      </c>
    </row>
    <row r="174" spans="1:9" x14ac:dyDescent="0.3">
      <c r="A174">
        <v>10624</v>
      </c>
      <c r="B174" s="1">
        <v>46106.405144699071</v>
      </c>
      <c r="C174" t="s">
        <v>19</v>
      </c>
      <c r="D174" t="s">
        <v>20</v>
      </c>
      <c r="E174">
        <v>200.52</v>
      </c>
      <c r="F174" t="s">
        <v>11</v>
      </c>
      <c r="G174" t="s">
        <v>12</v>
      </c>
      <c r="H174" t="s">
        <v>63</v>
      </c>
      <c r="I174" t="s">
        <v>14</v>
      </c>
    </row>
    <row r="175" spans="1:9" x14ac:dyDescent="0.3">
      <c r="A175">
        <v>10625</v>
      </c>
      <c r="B175" s="1">
        <v>46106.884244375004</v>
      </c>
      <c r="C175" t="s">
        <v>24</v>
      </c>
      <c r="D175" t="s">
        <v>25</v>
      </c>
      <c r="E175">
        <v>570.04</v>
      </c>
      <c r="F175" t="s">
        <v>11</v>
      </c>
      <c r="G175" t="s">
        <v>12</v>
      </c>
      <c r="H175" t="s">
        <v>60</v>
      </c>
      <c r="I175" t="s">
        <v>14</v>
      </c>
    </row>
    <row r="176" spans="1:9" x14ac:dyDescent="0.3">
      <c r="A176">
        <v>10626</v>
      </c>
      <c r="B176" s="1">
        <v>46107.363344050929</v>
      </c>
      <c r="C176" t="s">
        <v>29</v>
      </c>
      <c r="D176" t="s">
        <v>30</v>
      </c>
      <c r="E176">
        <v>201.49</v>
      </c>
      <c r="F176" t="s">
        <v>11</v>
      </c>
      <c r="G176" t="s">
        <v>12</v>
      </c>
      <c r="H176" t="s">
        <v>61</v>
      </c>
      <c r="I176" t="s">
        <v>14</v>
      </c>
    </row>
    <row r="177" spans="1:9" x14ac:dyDescent="0.3">
      <c r="A177">
        <v>10627</v>
      </c>
      <c r="B177" s="1">
        <v>46107.842443726848</v>
      </c>
      <c r="C177" t="s">
        <v>9</v>
      </c>
      <c r="D177" t="s">
        <v>10</v>
      </c>
      <c r="E177">
        <v>630.62</v>
      </c>
      <c r="F177" t="s">
        <v>11</v>
      </c>
      <c r="G177" t="s">
        <v>12</v>
      </c>
      <c r="H177" t="s">
        <v>62</v>
      </c>
      <c r="I177" t="s">
        <v>14</v>
      </c>
    </row>
    <row r="178" spans="1:9" x14ac:dyDescent="0.3">
      <c r="A178">
        <v>10628</v>
      </c>
      <c r="B178" s="1">
        <v>46108.321543402781</v>
      </c>
      <c r="C178" t="s">
        <v>15</v>
      </c>
      <c r="D178" t="s">
        <v>16</v>
      </c>
      <c r="E178">
        <v>678.72</v>
      </c>
      <c r="F178" t="s">
        <v>11</v>
      </c>
      <c r="G178" t="s">
        <v>12</v>
      </c>
      <c r="H178" t="s">
        <v>56</v>
      </c>
      <c r="I178" t="s">
        <v>23</v>
      </c>
    </row>
    <row r="179" spans="1:9" x14ac:dyDescent="0.3">
      <c r="A179">
        <v>10629</v>
      </c>
      <c r="B179" s="1">
        <v>46108.800643090282</v>
      </c>
      <c r="C179" t="s">
        <v>19</v>
      </c>
      <c r="D179" t="s">
        <v>20</v>
      </c>
      <c r="E179">
        <v>201.15</v>
      </c>
      <c r="F179" t="s">
        <v>11</v>
      </c>
      <c r="G179" t="s">
        <v>12</v>
      </c>
      <c r="H179" t="s">
        <v>59</v>
      </c>
      <c r="I179" t="s">
        <v>23</v>
      </c>
    </row>
    <row r="180" spans="1:9" x14ac:dyDescent="0.3">
      <c r="A180">
        <v>10630</v>
      </c>
      <c r="B180" s="1">
        <v>46109.279742766201</v>
      </c>
      <c r="C180" t="s">
        <v>24</v>
      </c>
      <c r="D180" t="s">
        <v>25</v>
      </c>
      <c r="E180">
        <v>569.66999999999996</v>
      </c>
      <c r="F180" t="s">
        <v>11</v>
      </c>
      <c r="G180" t="s">
        <v>58</v>
      </c>
      <c r="H180" t="s">
        <v>47</v>
      </c>
      <c r="I180" t="s">
        <v>23</v>
      </c>
    </row>
    <row r="181" spans="1:9" x14ac:dyDescent="0.3">
      <c r="A181">
        <v>10631</v>
      </c>
      <c r="B181" s="1">
        <v>46109.758842442126</v>
      </c>
      <c r="C181" t="s">
        <v>29</v>
      </c>
      <c r="D181" t="s">
        <v>30</v>
      </c>
      <c r="E181">
        <v>201.38</v>
      </c>
      <c r="F181" t="s">
        <v>11</v>
      </c>
      <c r="G181" t="s">
        <v>12</v>
      </c>
      <c r="H181" t="s">
        <v>55</v>
      </c>
      <c r="I181" t="s">
        <v>23</v>
      </c>
    </row>
    <row r="182" spans="1:9" x14ac:dyDescent="0.3">
      <c r="A182">
        <v>10632</v>
      </c>
      <c r="B182" s="1">
        <v>46110.237942118052</v>
      </c>
      <c r="C182" t="s">
        <v>9</v>
      </c>
      <c r="D182" t="s">
        <v>10</v>
      </c>
      <c r="E182">
        <v>630.85</v>
      </c>
      <c r="F182" t="s">
        <v>11</v>
      </c>
      <c r="G182" t="s">
        <v>12</v>
      </c>
      <c r="H182" t="s">
        <v>56</v>
      </c>
      <c r="I182" t="s">
        <v>23</v>
      </c>
    </row>
    <row r="183" spans="1:9" x14ac:dyDescent="0.3">
      <c r="A183">
        <v>10633</v>
      </c>
      <c r="B183" s="1">
        <v>46110.717041805547</v>
      </c>
      <c r="C183" t="s">
        <v>15</v>
      </c>
      <c r="D183" t="s">
        <v>16</v>
      </c>
      <c r="E183">
        <v>678.34</v>
      </c>
      <c r="F183" t="s">
        <v>11</v>
      </c>
      <c r="G183" t="s">
        <v>12</v>
      </c>
      <c r="H183" t="s">
        <v>59</v>
      </c>
      <c r="I183" t="s">
        <v>23</v>
      </c>
    </row>
    <row r="184" spans="1:9" x14ac:dyDescent="0.3">
      <c r="A184">
        <v>10634</v>
      </c>
      <c r="B184" s="1">
        <v>46111.19614148148</v>
      </c>
      <c r="C184" t="s">
        <v>19</v>
      </c>
      <c r="D184" t="s">
        <v>20</v>
      </c>
      <c r="E184">
        <v>201.03</v>
      </c>
      <c r="F184" t="s">
        <v>11</v>
      </c>
      <c r="G184" t="s">
        <v>12</v>
      </c>
      <c r="H184" t="s">
        <v>47</v>
      </c>
      <c r="I184" t="s">
        <v>23</v>
      </c>
    </row>
    <row r="185" spans="1:9" x14ac:dyDescent="0.3">
      <c r="A185">
        <v>10635</v>
      </c>
      <c r="B185" s="1">
        <v>46111.675241157413</v>
      </c>
      <c r="C185" t="s">
        <v>24</v>
      </c>
      <c r="D185" t="s">
        <v>25</v>
      </c>
      <c r="E185">
        <v>554.75</v>
      </c>
      <c r="F185" t="s">
        <v>11</v>
      </c>
      <c r="G185" t="s">
        <v>12</v>
      </c>
      <c r="H185" t="s">
        <v>55</v>
      </c>
      <c r="I185" t="s">
        <v>23</v>
      </c>
    </row>
    <row r="186" spans="1:9" x14ac:dyDescent="0.3">
      <c r="A186">
        <v>10636</v>
      </c>
      <c r="B186" s="1">
        <v>46112.154340833331</v>
      </c>
      <c r="C186" t="s">
        <v>29</v>
      </c>
      <c r="D186" t="s">
        <v>30</v>
      </c>
      <c r="E186">
        <v>221.86</v>
      </c>
      <c r="F186" t="s">
        <v>11</v>
      </c>
      <c r="G186" t="s">
        <v>12</v>
      </c>
      <c r="H186" t="s">
        <v>56</v>
      </c>
      <c r="I186" t="s">
        <v>23</v>
      </c>
    </row>
    <row r="187" spans="1:9" x14ac:dyDescent="0.3">
      <c r="A187">
        <v>10637</v>
      </c>
      <c r="B187" s="1">
        <v>46112.633440509257</v>
      </c>
      <c r="C187" t="s">
        <v>9</v>
      </c>
      <c r="D187" t="s">
        <v>10</v>
      </c>
      <c r="E187">
        <v>631.12</v>
      </c>
      <c r="F187" t="s">
        <v>11</v>
      </c>
      <c r="G187" t="s">
        <v>12</v>
      </c>
      <c r="H187" t="s">
        <v>59</v>
      </c>
      <c r="I187" t="s">
        <v>23</v>
      </c>
    </row>
    <row r="188" spans="1:9" x14ac:dyDescent="0.3">
      <c r="A188">
        <v>10638</v>
      </c>
      <c r="B188" s="1">
        <v>46113.112540196758</v>
      </c>
      <c r="C188" t="s">
        <v>15</v>
      </c>
      <c r="D188" t="s">
        <v>16</v>
      </c>
      <c r="E188">
        <v>678.45</v>
      </c>
      <c r="F188" t="s">
        <v>11</v>
      </c>
      <c r="G188" t="s">
        <v>12</v>
      </c>
      <c r="H188" t="s">
        <v>47</v>
      </c>
      <c r="I188" t="s">
        <v>23</v>
      </c>
    </row>
    <row r="189" spans="1:9" x14ac:dyDescent="0.3">
      <c r="A189">
        <v>10639</v>
      </c>
      <c r="B189" s="1">
        <v>46113.591639872677</v>
      </c>
      <c r="C189" t="s">
        <v>19</v>
      </c>
      <c r="D189" t="s">
        <v>20</v>
      </c>
      <c r="E189">
        <v>201.15</v>
      </c>
      <c r="F189" t="s">
        <v>11</v>
      </c>
      <c r="G189" t="s">
        <v>12</v>
      </c>
      <c r="H189" t="s">
        <v>55</v>
      </c>
      <c r="I189" t="s">
        <v>23</v>
      </c>
    </row>
    <row r="190" spans="1:9" x14ac:dyDescent="0.3">
      <c r="A190">
        <v>10640</v>
      </c>
      <c r="B190" s="1">
        <v>46114.07073954861</v>
      </c>
      <c r="C190" t="s">
        <v>24</v>
      </c>
      <c r="D190" t="s">
        <v>25</v>
      </c>
      <c r="E190">
        <v>539.13</v>
      </c>
      <c r="F190" t="s">
        <v>11</v>
      </c>
      <c r="G190" t="s">
        <v>12</v>
      </c>
      <c r="H190" t="s">
        <v>56</v>
      </c>
      <c r="I190" t="s">
        <v>23</v>
      </c>
    </row>
    <row r="191" spans="1:9" x14ac:dyDescent="0.3">
      <c r="A191">
        <v>10641</v>
      </c>
      <c r="B191" s="1">
        <v>46114.549839224543</v>
      </c>
      <c r="C191" t="s">
        <v>29</v>
      </c>
      <c r="D191" t="s">
        <v>30</v>
      </c>
      <c r="E191">
        <v>221.59</v>
      </c>
      <c r="F191" t="s">
        <v>11</v>
      </c>
      <c r="G191" t="s">
        <v>12</v>
      </c>
      <c r="H191" t="s">
        <v>59</v>
      </c>
      <c r="I191" t="s">
        <v>23</v>
      </c>
    </row>
    <row r="192" spans="1:9" x14ac:dyDescent="0.3">
      <c r="A192">
        <v>10642</v>
      </c>
      <c r="B192" s="1">
        <v>46115.028938912037</v>
      </c>
      <c r="C192" t="s">
        <v>9</v>
      </c>
      <c r="D192" t="s">
        <v>10</v>
      </c>
      <c r="E192">
        <v>630.74</v>
      </c>
      <c r="F192" t="s">
        <v>11</v>
      </c>
      <c r="G192" t="s">
        <v>58</v>
      </c>
      <c r="H192" t="s">
        <v>47</v>
      </c>
      <c r="I192" t="s">
        <v>23</v>
      </c>
    </row>
    <row r="193" spans="1:9" x14ac:dyDescent="0.3">
      <c r="A193">
        <v>10643</v>
      </c>
      <c r="B193" s="1">
        <v>46115.508038587963</v>
      </c>
      <c r="C193" t="s">
        <v>15</v>
      </c>
      <c r="D193" t="s">
        <v>16</v>
      </c>
      <c r="E193">
        <v>678.45</v>
      </c>
      <c r="F193" t="s">
        <v>11</v>
      </c>
      <c r="G193" t="s">
        <v>58</v>
      </c>
      <c r="H193" t="s">
        <v>55</v>
      </c>
      <c r="I193" t="s">
        <v>23</v>
      </c>
    </row>
    <row r="194" spans="1:9" x14ac:dyDescent="0.3">
      <c r="A194">
        <v>10644</v>
      </c>
      <c r="B194" s="1">
        <v>46115.987138263888</v>
      </c>
      <c r="C194" t="s">
        <v>19</v>
      </c>
      <c r="D194" t="s">
        <v>20</v>
      </c>
      <c r="E194">
        <v>201.15</v>
      </c>
      <c r="F194" t="s">
        <v>11</v>
      </c>
      <c r="G194" t="s">
        <v>58</v>
      </c>
      <c r="H194" t="s">
        <v>56</v>
      </c>
      <c r="I194" t="s">
        <v>23</v>
      </c>
    </row>
    <row r="195" spans="1:9" x14ac:dyDescent="0.3">
      <c r="A195">
        <v>10645</v>
      </c>
      <c r="B195" s="1">
        <v>46116.466237939807</v>
      </c>
      <c r="C195" t="s">
        <v>24</v>
      </c>
      <c r="D195" t="s">
        <v>25</v>
      </c>
      <c r="E195">
        <v>569.91999999999996</v>
      </c>
      <c r="F195" t="s">
        <v>11</v>
      </c>
      <c r="G195" t="s">
        <v>58</v>
      </c>
      <c r="H195" t="s">
        <v>59</v>
      </c>
      <c r="I195" t="s">
        <v>23</v>
      </c>
    </row>
    <row r="196" spans="1:9" x14ac:dyDescent="0.3">
      <c r="A196">
        <v>10646</v>
      </c>
      <c r="B196" s="1">
        <v>46116.94533761574</v>
      </c>
      <c r="C196" t="s">
        <v>29</v>
      </c>
      <c r="D196" t="s">
        <v>30</v>
      </c>
      <c r="E196">
        <v>221.36</v>
      </c>
      <c r="F196" t="s">
        <v>11</v>
      </c>
      <c r="G196" t="s">
        <v>58</v>
      </c>
      <c r="H196" t="s">
        <v>47</v>
      </c>
      <c r="I196" t="s">
        <v>23</v>
      </c>
    </row>
    <row r="197" spans="1:9" x14ac:dyDescent="0.3">
      <c r="A197">
        <v>10647</v>
      </c>
      <c r="B197" s="1">
        <v>46117.424437303242</v>
      </c>
      <c r="C197" t="s">
        <v>9</v>
      </c>
      <c r="D197" t="s">
        <v>10</v>
      </c>
      <c r="E197">
        <v>631</v>
      </c>
      <c r="F197" t="s">
        <v>11</v>
      </c>
      <c r="G197" t="s">
        <v>12</v>
      </c>
      <c r="H197" t="s">
        <v>55</v>
      </c>
      <c r="I197" t="s">
        <v>23</v>
      </c>
    </row>
    <row r="198" spans="1:9" x14ac:dyDescent="0.3">
      <c r="A198">
        <v>10648</v>
      </c>
      <c r="B198" s="1">
        <v>46117.903536979167</v>
      </c>
      <c r="C198" t="s">
        <v>15</v>
      </c>
      <c r="D198" t="s">
        <v>16</v>
      </c>
      <c r="E198">
        <v>746.13</v>
      </c>
      <c r="F198" t="s">
        <v>11</v>
      </c>
      <c r="G198" t="s">
        <v>12</v>
      </c>
      <c r="H198" t="s">
        <v>56</v>
      </c>
      <c r="I198" t="s">
        <v>23</v>
      </c>
    </row>
    <row r="199" spans="1:9" x14ac:dyDescent="0.3">
      <c r="A199">
        <v>10649</v>
      </c>
      <c r="B199" s="1">
        <v>46118.382636655093</v>
      </c>
      <c r="C199" t="s">
        <v>19</v>
      </c>
      <c r="D199" t="s">
        <v>20</v>
      </c>
      <c r="E199">
        <v>200.52</v>
      </c>
      <c r="F199" t="s">
        <v>11</v>
      </c>
      <c r="G199" t="s">
        <v>12</v>
      </c>
      <c r="H199" t="s">
        <v>59</v>
      </c>
      <c r="I199" t="s">
        <v>23</v>
      </c>
    </row>
    <row r="200" spans="1:9" x14ac:dyDescent="0.3">
      <c r="A200">
        <v>10650</v>
      </c>
      <c r="B200" s="1">
        <v>46118.861736331019</v>
      </c>
      <c r="C200" t="s">
        <v>24</v>
      </c>
      <c r="D200" t="s">
        <v>25</v>
      </c>
      <c r="E200">
        <v>585.19000000000005</v>
      </c>
      <c r="F200" t="s">
        <v>11</v>
      </c>
      <c r="G200" t="s">
        <v>12</v>
      </c>
      <c r="H200" t="s">
        <v>47</v>
      </c>
      <c r="I200" t="s">
        <v>23</v>
      </c>
    </row>
    <row r="201" spans="1:9" x14ac:dyDescent="0.3">
      <c r="A201">
        <v>10651</v>
      </c>
      <c r="B201" s="1">
        <v>46119.34083601852</v>
      </c>
      <c r="C201" t="s">
        <v>29</v>
      </c>
      <c r="D201" t="s">
        <v>30</v>
      </c>
      <c r="E201">
        <v>221.59</v>
      </c>
      <c r="F201" t="s">
        <v>11</v>
      </c>
      <c r="G201" t="s">
        <v>12</v>
      </c>
      <c r="H201" t="s">
        <v>55</v>
      </c>
      <c r="I201" t="s">
        <v>23</v>
      </c>
    </row>
    <row r="202" spans="1:9" x14ac:dyDescent="0.3">
      <c r="A202">
        <v>10652</v>
      </c>
      <c r="B202" s="1">
        <v>46119.819935694453</v>
      </c>
      <c r="C202" t="s">
        <v>9</v>
      </c>
      <c r="D202" t="s">
        <v>10</v>
      </c>
      <c r="E202">
        <v>688.31</v>
      </c>
      <c r="F202" t="s">
        <v>11</v>
      </c>
      <c r="G202" t="s">
        <v>12</v>
      </c>
      <c r="H202" t="s">
        <v>56</v>
      </c>
      <c r="I202" t="s">
        <v>23</v>
      </c>
    </row>
    <row r="203" spans="1:9" x14ac:dyDescent="0.3">
      <c r="A203">
        <v>10653</v>
      </c>
      <c r="B203" s="1">
        <v>46120.299035370372</v>
      </c>
      <c r="C203" t="s">
        <v>15</v>
      </c>
      <c r="D203" t="s">
        <v>16</v>
      </c>
      <c r="E203">
        <v>745.76</v>
      </c>
      <c r="F203" t="s">
        <v>11</v>
      </c>
      <c r="G203" t="s">
        <v>12</v>
      </c>
      <c r="H203" t="s">
        <v>59</v>
      </c>
      <c r="I203" t="s">
        <v>23</v>
      </c>
    </row>
    <row r="204" spans="1:9" x14ac:dyDescent="0.3">
      <c r="A204">
        <v>10654</v>
      </c>
      <c r="B204" s="1">
        <v>46120.778135046297</v>
      </c>
      <c r="C204" t="s">
        <v>19</v>
      </c>
      <c r="D204" t="s">
        <v>20</v>
      </c>
      <c r="E204">
        <v>200.88</v>
      </c>
      <c r="F204" t="s">
        <v>11</v>
      </c>
      <c r="G204" t="s">
        <v>12</v>
      </c>
      <c r="H204" t="s">
        <v>47</v>
      </c>
      <c r="I204" t="s">
        <v>23</v>
      </c>
    </row>
    <row r="205" spans="1:9" x14ac:dyDescent="0.3">
      <c r="A205">
        <v>10655</v>
      </c>
      <c r="B205" s="1">
        <v>46121.257234722223</v>
      </c>
      <c r="C205" t="s">
        <v>24</v>
      </c>
      <c r="D205" t="s">
        <v>25</v>
      </c>
      <c r="E205">
        <v>601.09</v>
      </c>
      <c r="F205" t="s">
        <v>11</v>
      </c>
      <c r="G205" t="s">
        <v>12</v>
      </c>
      <c r="H205" t="s">
        <v>55</v>
      </c>
      <c r="I205" t="s">
        <v>23</v>
      </c>
    </row>
    <row r="206" spans="1:9" x14ac:dyDescent="0.3">
      <c r="A206">
        <v>10656</v>
      </c>
      <c r="B206" s="1">
        <v>46121.736334409718</v>
      </c>
      <c r="C206" t="s">
        <v>29</v>
      </c>
      <c r="D206" t="s">
        <v>30</v>
      </c>
      <c r="E206">
        <v>221.48</v>
      </c>
      <c r="F206" t="s">
        <v>11</v>
      </c>
      <c r="G206" t="s">
        <v>12</v>
      </c>
      <c r="H206" t="s">
        <v>56</v>
      </c>
      <c r="I206" t="s">
        <v>23</v>
      </c>
    </row>
    <row r="207" spans="1:9" x14ac:dyDescent="0.3">
      <c r="A207">
        <v>10657</v>
      </c>
      <c r="B207" s="1">
        <v>46122.21543408565</v>
      </c>
      <c r="C207" t="s">
        <v>9</v>
      </c>
      <c r="D207" t="s">
        <v>10</v>
      </c>
      <c r="E207">
        <v>688.05</v>
      </c>
      <c r="F207" t="s">
        <v>11</v>
      </c>
      <c r="G207" t="s">
        <v>12</v>
      </c>
      <c r="H207" t="s">
        <v>59</v>
      </c>
      <c r="I207" t="s">
        <v>23</v>
      </c>
    </row>
    <row r="208" spans="1:9" x14ac:dyDescent="0.3">
      <c r="A208">
        <v>10658</v>
      </c>
      <c r="B208" s="1">
        <v>46122.694533761583</v>
      </c>
      <c r="C208" t="s">
        <v>15</v>
      </c>
      <c r="D208" t="s">
        <v>16</v>
      </c>
      <c r="E208">
        <v>746.13</v>
      </c>
      <c r="F208" t="s">
        <v>11</v>
      </c>
      <c r="G208" t="s">
        <v>58</v>
      </c>
      <c r="H208" t="s">
        <v>47</v>
      </c>
      <c r="I208" t="s">
        <v>23</v>
      </c>
    </row>
    <row r="209" spans="1:9" x14ac:dyDescent="0.3">
      <c r="A209">
        <v>10659</v>
      </c>
      <c r="B209" s="1">
        <v>46123.173633437502</v>
      </c>
      <c r="C209" t="s">
        <v>19</v>
      </c>
      <c r="D209" t="s">
        <v>20</v>
      </c>
      <c r="E209">
        <v>200.77</v>
      </c>
      <c r="F209" t="s">
        <v>11</v>
      </c>
      <c r="G209" t="s">
        <v>58</v>
      </c>
      <c r="H209" t="s">
        <v>55</v>
      </c>
      <c r="I209" t="s">
        <v>23</v>
      </c>
    </row>
    <row r="210" spans="1:9" x14ac:dyDescent="0.3">
      <c r="A210">
        <v>10660</v>
      </c>
      <c r="B210" s="1">
        <v>46123.652733113428</v>
      </c>
      <c r="C210" t="s">
        <v>24</v>
      </c>
      <c r="D210" t="s">
        <v>25</v>
      </c>
      <c r="E210">
        <v>631.62</v>
      </c>
      <c r="F210" t="s">
        <v>21</v>
      </c>
      <c r="G210" t="s">
        <v>58</v>
      </c>
      <c r="H210" t="s">
        <v>56</v>
      </c>
      <c r="I210" t="s">
        <v>23</v>
      </c>
    </row>
    <row r="211" spans="1:9" x14ac:dyDescent="0.3">
      <c r="A211">
        <v>10661</v>
      </c>
      <c r="B211" s="1">
        <v>46124.131832800929</v>
      </c>
      <c r="C211" t="s">
        <v>29</v>
      </c>
      <c r="D211" t="s">
        <v>30</v>
      </c>
      <c r="E211">
        <v>221.74</v>
      </c>
      <c r="F211" t="s">
        <v>21</v>
      </c>
      <c r="G211" t="s">
        <v>58</v>
      </c>
      <c r="H211" t="s">
        <v>59</v>
      </c>
      <c r="I211" t="s">
        <v>23</v>
      </c>
    </row>
    <row r="212" spans="1:9" x14ac:dyDescent="0.3">
      <c r="A212">
        <v>10662</v>
      </c>
      <c r="B212" s="1">
        <v>46124.610932476848</v>
      </c>
      <c r="C212" t="s">
        <v>9</v>
      </c>
      <c r="D212" t="s">
        <v>10</v>
      </c>
      <c r="E212">
        <v>631</v>
      </c>
      <c r="F212" t="s">
        <v>21</v>
      </c>
      <c r="G212" t="s">
        <v>58</v>
      </c>
      <c r="H212" t="s">
        <v>47</v>
      </c>
      <c r="I212" t="s">
        <v>23</v>
      </c>
    </row>
    <row r="213" spans="1:9" x14ac:dyDescent="0.3">
      <c r="A213">
        <v>10663</v>
      </c>
      <c r="B213" s="1">
        <v>46125.090032152781</v>
      </c>
      <c r="C213" t="s">
        <v>15</v>
      </c>
      <c r="D213" t="s">
        <v>16</v>
      </c>
      <c r="E213">
        <v>746.01</v>
      </c>
      <c r="F213" t="s">
        <v>21</v>
      </c>
      <c r="G213" t="s">
        <v>58</v>
      </c>
      <c r="H213" t="s">
        <v>55</v>
      </c>
      <c r="I213" t="s">
        <v>23</v>
      </c>
    </row>
    <row r="214" spans="1:9" x14ac:dyDescent="0.3">
      <c r="A214">
        <v>10664</v>
      </c>
      <c r="B214" s="1">
        <v>46125.569131828714</v>
      </c>
      <c r="C214" t="s">
        <v>19</v>
      </c>
      <c r="D214" t="s">
        <v>20</v>
      </c>
      <c r="E214">
        <v>200.52</v>
      </c>
      <c r="F214" t="s">
        <v>21</v>
      </c>
      <c r="G214" t="s">
        <v>58</v>
      </c>
      <c r="H214" t="s">
        <v>56</v>
      </c>
      <c r="I214" t="s">
        <v>23</v>
      </c>
    </row>
    <row r="215" spans="1:9" x14ac:dyDescent="0.3">
      <c r="A215">
        <v>10665</v>
      </c>
      <c r="B215" s="1">
        <v>46126.048231516201</v>
      </c>
      <c r="C215" t="s">
        <v>24</v>
      </c>
      <c r="D215" t="s">
        <v>25</v>
      </c>
      <c r="E215">
        <v>647.4</v>
      </c>
      <c r="F215" t="s">
        <v>21</v>
      </c>
      <c r="G215" t="s">
        <v>58</v>
      </c>
      <c r="H215" t="s">
        <v>59</v>
      </c>
      <c r="I215" t="s">
        <v>23</v>
      </c>
    </row>
    <row r="216" spans="1:9" x14ac:dyDescent="0.3">
      <c r="A216">
        <v>10666</v>
      </c>
      <c r="B216" s="1">
        <v>46126.527331192126</v>
      </c>
      <c r="C216" t="s">
        <v>29</v>
      </c>
      <c r="D216" t="s">
        <v>30</v>
      </c>
      <c r="E216">
        <v>221.48</v>
      </c>
      <c r="F216" t="s">
        <v>21</v>
      </c>
      <c r="G216" t="s">
        <v>58</v>
      </c>
      <c r="H216" t="s">
        <v>47</v>
      </c>
      <c r="I216" t="s">
        <v>23</v>
      </c>
    </row>
    <row r="217" spans="1:9" x14ac:dyDescent="0.3">
      <c r="A217">
        <v>10667</v>
      </c>
      <c r="B217" s="1">
        <v>46127.006430868052</v>
      </c>
      <c r="C217" t="s">
        <v>9</v>
      </c>
      <c r="D217" t="s">
        <v>10</v>
      </c>
      <c r="E217">
        <v>630.37</v>
      </c>
      <c r="F217" t="s">
        <v>21</v>
      </c>
      <c r="G217" t="s">
        <v>58</v>
      </c>
      <c r="H217" t="s">
        <v>55</v>
      </c>
      <c r="I217" t="s">
        <v>23</v>
      </c>
    </row>
    <row r="218" spans="1:9" x14ac:dyDescent="0.3">
      <c r="A218">
        <v>10668</v>
      </c>
      <c r="B218" s="1">
        <v>46127.485530543992</v>
      </c>
      <c r="C218" t="s">
        <v>15</v>
      </c>
      <c r="D218" t="s">
        <v>16</v>
      </c>
      <c r="E218">
        <v>746.51</v>
      </c>
      <c r="F218" t="s">
        <v>21</v>
      </c>
      <c r="G218" t="s">
        <v>58</v>
      </c>
      <c r="H218" t="s">
        <v>56</v>
      </c>
      <c r="I218" t="s">
        <v>23</v>
      </c>
    </row>
    <row r="219" spans="1:9" x14ac:dyDescent="0.3">
      <c r="A219">
        <v>10669</v>
      </c>
      <c r="B219" s="1">
        <v>46127.964630219911</v>
      </c>
      <c r="C219" t="s">
        <v>19</v>
      </c>
      <c r="D219" t="s">
        <v>20</v>
      </c>
      <c r="E219">
        <v>201.03</v>
      </c>
      <c r="F219" t="s">
        <v>21</v>
      </c>
      <c r="G219" t="s">
        <v>58</v>
      </c>
      <c r="H219" t="s">
        <v>59</v>
      </c>
      <c r="I219" t="s">
        <v>23</v>
      </c>
    </row>
    <row r="220" spans="1:9" x14ac:dyDescent="0.3">
      <c r="A220">
        <v>10670</v>
      </c>
      <c r="B220" s="1">
        <v>46128.443729907412</v>
      </c>
      <c r="C220" t="s">
        <v>24</v>
      </c>
      <c r="D220" t="s">
        <v>25</v>
      </c>
      <c r="E220">
        <v>677.44</v>
      </c>
      <c r="F220" t="s">
        <v>21</v>
      </c>
      <c r="G220" t="s">
        <v>58</v>
      </c>
      <c r="H220" t="s">
        <v>47</v>
      </c>
      <c r="I220" t="s">
        <v>23</v>
      </c>
    </row>
    <row r="221" spans="1:9" x14ac:dyDescent="0.3">
      <c r="A221">
        <v>10671</v>
      </c>
      <c r="B221" s="1">
        <v>46128.922829583331</v>
      </c>
      <c r="C221" t="s">
        <v>29</v>
      </c>
      <c r="D221" t="s">
        <v>30</v>
      </c>
      <c r="E221">
        <v>221.11</v>
      </c>
      <c r="F221" t="s">
        <v>21</v>
      </c>
      <c r="G221" t="s">
        <v>58</v>
      </c>
      <c r="H221" t="s">
        <v>55</v>
      </c>
      <c r="I221" t="s">
        <v>23</v>
      </c>
    </row>
    <row r="222" spans="1:9" x14ac:dyDescent="0.3">
      <c r="A222">
        <v>10672</v>
      </c>
      <c r="B222" s="1">
        <v>46129.401929259257</v>
      </c>
      <c r="C222" t="s">
        <v>9</v>
      </c>
      <c r="D222" t="s">
        <v>10</v>
      </c>
      <c r="E222">
        <v>630.37</v>
      </c>
      <c r="F222" t="s">
        <v>21</v>
      </c>
      <c r="G222" t="s">
        <v>58</v>
      </c>
      <c r="H222" t="s">
        <v>56</v>
      </c>
      <c r="I222" t="s">
        <v>23</v>
      </c>
    </row>
    <row r="223" spans="1:9" x14ac:dyDescent="0.3">
      <c r="A223">
        <v>10673</v>
      </c>
      <c r="B223" s="1">
        <v>46129.881028935182</v>
      </c>
      <c r="C223" t="s">
        <v>15</v>
      </c>
      <c r="D223" t="s">
        <v>16</v>
      </c>
      <c r="E223">
        <v>746.01</v>
      </c>
      <c r="F223" t="s">
        <v>21</v>
      </c>
      <c r="G223" t="s">
        <v>58</v>
      </c>
      <c r="H223" t="s">
        <v>59</v>
      </c>
      <c r="I223" t="s">
        <v>23</v>
      </c>
    </row>
    <row r="224" spans="1:9" x14ac:dyDescent="0.3">
      <c r="A224">
        <v>10674</v>
      </c>
      <c r="B224" s="1">
        <v>46130.360128622677</v>
      </c>
      <c r="C224" t="s">
        <v>19</v>
      </c>
      <c r="D224" t="s">
        <v>20</v>
      </c>
      <c r="E224">
        <v>201.03</v>
      </c>
      <c r="F224" t="s">
        <v>21</v>
      </c>
      <c r="G224" t="s">
        <v>58</v>
      </c>
      <c r="H224" t="s">
        <v>47</v>
      </c>
      <c r="I224" t="s">
        <v>23</v>
      </c>
    </row>
    <row r="225" spans="1:9" x14ac:dyDescent="0.3">
      <c r="A225">
        <v>10675</v>
      </c>
      <c r="B225" s="1">
        <v>46130.83922829861</v>
      </c>
      <c r="C225" t="s">
        <v>24</v>
      </c>
      <c r="D225" t="s">
        <v>25</v>
      </c>
      <c r="E225">
        <v>677.44</v>
      </c>
      <c r="F225" t="s">
        <v>21</v>
      </c>
      <c r="G225" t="s">
        <v>58</v>
      </c>
      <c r="H225" t="s">
        <v>55</v>
      </c>
      <c r="I225" t="s">
        <v>23</v>
      </c>
    </row>
    <row r="226" spans="1:9" x14ac:dyDescent="0.3">
      <c r="A226">
        <v>10676</v>
      </c>
      <c r="B226" s="1">
        <v>46131.318327974543</v>
      </c>
      <c r="C226" t="s">
        <v>29</v>
      </c>
      <c r="D226" t="s">
        <v>30</v>
      </c>
      <c r="E226">
        <v>241.58</v>
      </c>
      <c r="F226" t="s">
        <v>21</v>
      </c>
      <c r="G226" t="s">
        <v>58</v>
      </c>
      <c r="H226" t="s">
        <v>56</v>
      </c>
      <c r="I226" t="s">
        <v>23</v>
      </c>
    </row>
    <row r="227" spans="1:9" x14ac:dyDescent="0.3">
      <c r="A227">
        <v>10677</v>
      </c>
      <c r="B227" s="1">
        <v>46131.797427650461</v>
      </c>
      <c r="C227" t="s">
        <v>9</v>
      </c>
      <c r="D227" t="s">
        <v>10</v>
      </c>
      <c r="E227">
        <v>630.85</v>
      </c>
      <c r="F227" t="s">
        <v>21</v>
      </c>
      <c r="G227" t="s">
        <v>58</v>
      </c>
      <c r="H227" t="s">
        <v>59</v>
      </c>
      <c r="I227" t="s">
        <v>23</v>
      </c>
    </row>
    <row r="228" spans="1:9" x14ac:dyDescent="0.3">
      <c r="A228">
        <v>10678</v>
      </c>
      <c r="B228" s="1">
        <v>46132.276527326387</v>
      </c>
      <c r="C228" t="s">
        <v>15</v>
      </c>
      <c r="D228" t="s">
        <v>16</v>
      </c>
      <c r="E228">
        <v>745.76</v>
      </c>
      <c r="F228" t="s">
        <v>21</v>
      </c>
      <c r="G228" t="s">
        <v>58</v>
      </c>
      <c r="H228" t="s">
        <v>47</v>
      </c>
      <c r="I228" t="s">
        <v>23</v>
      </c>
    </row>
    <row r="229" spans="1:9" x14ac:dyDescent="0.3">
      <c r="A229">
        <v>10679</v>
      </c>
      <c r="B229" s="1">
        <v>46132.755627013888</v>
      </c>
      <c r="C229" t="s">
        <v>19</v>
      </c>
      <c r="D229" t="s">
        <v>20</v>
      </c>
      <c r="E229">
        <v>200.65</v>
      </c>
      <c r="F229" t="s">
        <v>21</v>
      </c>
      <c r="G229" t="s">
        <v>58</v>
      </c>
      <c r="H229" t="s">
        <v>55</v>
      </c>
      <c r="I229" t="s">
        <v>23</v>
      </c>
    </row>
    <row r="230" spans="1:9" x14ac:dyDescent="0.3">
      <c r="A230">
        <v>10680</v>
      </c>
      <c r="B230" s="1">
        <v>46133.234726689807</v>
      </c>
      <c r="C230" t="s">
        <v>24</v>
      </c>
      <c r="D230" t="s">
        <v>25</v>
      </c>
      <c r="E230">
        <v>647.4</v>
      </c>
      <c r="F230" t="s">
        <v>21</v>
      </c>
      <c r="G230" t="s">
        <v>58</v>
      </c>
      <c r="H230" t="s">
        <v>56</v>
      </c>
      <c r="I230" t="s">
        <v>23</v>
      </c>
    </row>
    <row r="231" spans="1:9" x14ac:dyDescent="0.3">
      <c r="A231">
        <v>10681</v>
      </c>
      <c r="B231" s="1">
        <v>46133.71382636574</v>
      </c>
      <c r="C231" t="s">
        <v>29</v>
      </c>
      <c r="D231" t="s">
        <v>30</v>
      </c>
      <c r="E231">
        <v>241.84</v>
      </c>
      <c r="F231" t="s">
        <v>21</v>
      </c>
      <c r="G231" t="s">
        <v>58</v>
      </c>
      <c r="H231" t="s">
        <v>59</v>
      </c>
      <c r="I231" t="s">
        <v>23</v>
      </c>
    </row>
    <row r="232" spans="1:9" x14ac:dyDescent="0.3">
      <c r="A232">
        <v>10682</v>
      </c>
      <c r="B232" s="1">
        <v>46134.192926041673</v>
      </c>
      <c r="C232" t="s">
        <v>9</v>
      </c>
      <c r="D232" t="s">
        <v>10</v>
      </c>
      <c r="E232">
        <v>630.62</v>
      </c>
      <c r="F232" t="s">
        <v>21</v>
      </c>
      <c r="G232" t="s">
        <v>58</v>
      </c>
      <c r="H232" t="s">
        <v>47</v>
      </c>
      <c r="I232" t="s">
        <v>23</v>
      </c>
    </row>
    <row r="233" spans="1:9" x14ac:dyDescent="0.3">
      <c r="A233">
        <v>10683</v>
      </c>
      <c r="B233" s="1">
        <v>46134.672025729167</v>
      </c>
      <c r="C233" t="s">
        <v>15</v>
      </c>
      <c r="D233" t="s">
        <v>16</v>
      </c>
      <c r="E233">
        <v>677.97</v>
      </c>
      <c r="F233" t="s">
        <v>21</v>
      </c>
      <c r="G233" t="s">
        <v>58</v>
      </c>
      <c r="H233" t="s">
        <v>55</v>
      </c>
      <c r="I233" t="s">
        <v>23</v>
      </c>
    </row>
    <row r="234" spans="1:9" x14ac:dyDescent="0.3">
      <c r="A234">
        <v>10684</v>
      </c>
      <c r="B234" s="1">
        <v>46135.151125405093</v>
      </c>
      <c r="C234" t="s">
        <v>19</v>
      </c>
      <c r="D234" t="s">
        <v>20</v>
      </c>
      <c r="E234">
        <v>201.03</v>
      </c>
      <c r="F234" t="s">
        <v>21</v>
      </c>
      <c r="G234" t="s">
        <v>58</v>
      </c>
      <c r="H234" t="s">
        <v>56</v>
      </c>
      <c r="I234" t="s">
        <v>23</v>
      </c>
    </row>
    <row r="235" spans="1:9" x14ac:dyDescent="0.3">
      <c r="A235">
        <v>10685</v>
      </c>
      <c r="B235" s="1">
        <v>46135.630225081019</v>
      </c>
      <c r="C235" t="s">
        <v>24</v>
      </c>
      <c r="D235" t="s">
        <v>25</v>
      </c>
      <c r="E235">
        <v>677.92</v>
      </c>
      <c r="F235" t="s">
        <v>21</v>
      </c>
      <c r="G235" t="s">
        <v>58</v>
      </c>
      <c r="H235" t="s">
        <v>59</v>
      </c>
      <c r="I235" t="s">
        <v>23</v>
      </c>
    </row>
    <row r="236" spans="1:9" x14ac:dyDescent="0.3">
      <c r="A236">
        <v>10686</v>
      </c>
      <c r="B236" s="1">
        <v>46136.109324756937</v>
      </c>
      <c r="C236" t="s">
        <v>29</v>
      </c>
      <c r="D236" t="s">
        <v>30</v>
      </c>
      <c r="E236">
        <v>241.21</v>
      </c>
      <c r="F236" t="s">
        <v>21</v>
      </c>
      <c r="G236" t="s">
        <v>58</v>
      </c>
      <c r="H236" t="s">
        <v>47</v>
      </c>
      <c r="I236" t="s">
        <v>23</v>
      </c>
    </row>
    <row r="237" spans="1:9" x14ac:dyDescent="0.3">
      <c r="A237">
        <v>10687</v>
      </c>
      <c r="B237" s="1">
        <v>46136.58842443287</v>
      </c>
      <c r="C237" t="s">
        <v>9</v>
      </c>
      <c r="D237" t="s">
        <v>10</v>
      </c>
      <c r="E237">
        <v>630.62</v>
      </c>
      <c r="F237" t="s">
        <v>21</v>
      </c>
      <c r="G237" t="s">
        <v>58</v>
      </c>
      <c r="H237" t="s">
        <v>27</v>
      </c>
      <c r="I237" t="s">
        <v>28</v>
      </c>
    </row>
    <row r="238" spans="1:9" x14ac:dyDescent="0.3">
      <c r="A238">
        <v>10688</v>
      </c>
      <c r="B238" s="1">
        <v>46137.067524120372</v>
      </c>
      <c r="C238" t="s">
        <v>15</v>
      </c>
      <c r="D238" t="s">
        <v>16</v>
      </c>
      <c r="E238">
        <v>678.09</v>
      </c>
      <c r="F238" t="s">
        <v>21</v>
      </c>
      <c r="G238" t="s">
        <v>58</v>
      </c>
      <c r="H238" t="s">
        <v>31</v>
      </c>
      <c r="I238" t="s">
        <v>28</v>
      </c>
    </row>
    <row r="239" spans="1:9" x14ac:dyDescent="0.3">
      <c r="A239">
        <v>10689</v>
      </c>
      <c r="B239" s="1">
        <v>46137.546623796297</v>
      </c>
      <c r="C239" t="s">
        <v>19</v>
      </c>
      <c r="D239" t="s">
        <v>20</v>
      </c>
      <c r="E239">
        <v>200.77</v>
      </c>
      <c r="F239" t="s">
        <v>21</v>
      </c>
      <c r="G239" t="s">
        <v>58</v>
      </c>
      <c r="H239" t="s">
        <v>64</v>
      </c>
      <c r="I239" t="s">
        <v>28</v>
      </c>
    </row>
    <row r="240" spans="1:9" x14ac:dyDescent="0.3">
      <c r="A240">
        <v>10690</v>
      </c>
      <c r="B240" s="1">
        <v>46138.025723472223</v>
      </c>
      <c r="C240" t="s">
        <v>24</v>
      </c>
      <c r="D240" t="s">
        <v>25</v>
      </c>
      <c r="E240">
        <v>678.19</v>
      </c>
      <c r="F240" t="s">
        <v>21</v>
      </c>
      <c r="G240" t="s">
        <v>58</v>
      </c>
      <c r="H240" t="s">
        <v>65</v>
      </c>
      <c r="I240" t="s">
        <v>28</v>
      </c>
    </row>
    <row r="241" spans="1:9" x14ac:dyDescent="0.3">
      <c r="A241">
        <v>10691</v>
      </c>
      <c r="B241" s="1">
        <v>46138.504823148149</v>
      </c>
      <c r="C241" t="s">
        <v>29</v>
      </c>
      <c r="D241" t="s">
        <v>30</v>
      </c>
      <c r="E241">
        <v>261.56</v>
      </c>
      <c r="F241" t="s">
        <v>21</v>
      </c>
      <c r="G241" t="s">
        <v>58</v>
      </c>
      <c r="H241" t="s">
        <v>27</v>
      </c>
      <c r="I241" t="s">
        <v>28</v>
      </c>
    </row>
    <row r="242" spans="1:9" x14ac:dyDescent="0.3">
      <c r="A242">
        <v>10692</v>
      </c>
      <c r="B242" s="1">
        <v>46138.983922824067</v>
      </c>
      <c r="C242" t="s">
        <v>9</v>
      </c>
      <c r="D242" t="s">
        <v>10</v>
      </c>
      <c r="E242">
        <v>631</v>
      </c>
      <c r="F242" t="s">
        <v>21</v>
      </c>
      <c r="G242" t="s">
        <v>58</v>
      </c>
      <c r="H242" t="s">
        <v>31</v>
      </c>
      <c r="I242" t="s">
        <v>28</v>
      </c>
    </row>
    <row r="243" spans="1:9" x14ac:dyDescent="0.3">
      <c r="A243">
        <v>10693</v>
      </c>
      <c r="B243" s="1">
        <v>46139.463022511583</v>
      </c>
      <c r="C243" t="s">
        <v>15</v>
      </c>
      <c r="D243" t="s">
        <v>16</v>
      </c>
      <c r="E243">
        <v>677.97</v>
      </c>
      <c r="F243" t="s">
        <v>21</v>
      </c>
      <c r="G243" t="s">
        <v>58</v>
      </c>
      <c r="H243" t="s">
        <v>64</v>
      </c>
      <c r="I243" t="s">
        <v>28</v>
      </c>
    </row>
    <row r="244" spans="1:9" x14ac:dyDescent="0.3">
      <c r="A244">
        <v>10694</v>
      </c>
      <c r="B244" s="1">
        <v>46139.942122187502</v>
      </c>
      <c r="C244" t="s">
        <v>19</v>
      </c>
      <c r="D244" t="s">
        <v>20</v>
      </c>
      <c r="E244">
        <v>200.77</v>
      </c>
      <c r="F244" t="s">
        <v>21</v>
      </c>
      <c r="G244" t="s">
        <v>58</v>
      </c>
      <c r="H244" t="s">
        <v>65</v>
      </c>
      <c r="I244" t="s">
        <v>28</v>
      </c>
    </row>
    <row r="245" spans="1:9" x14ac:dyDescent="0.3">
      <c r="A245">
        <v>10695</v>
      </c>
      <c r="B245" s="1">
        <v>46140.421221863427</v>
      </c>
      <c r="C245" t="s">
        <v>24</v>
      </c>
      <c r="D245" t="s">
        <v>25</v>
      </c>
      <c r="E245">
        <v>692.84</v>
      </c>
      <c r="F245" t="s">
        <v>21</v>
      </c>
      <c r="G245" t="s">
        <v>58</v>
      </c>
      <c r="H245" t="s">
        <v>27</v>
      </c>
      <c r="I245" t="s">
        <v>28</v>
      </c>
    </row>
    <row r="246" spans="1:9" x14ac:dyDescent="0.3">
      <c r="A246">
        <v>10696</v>
      </c>
      <c r="B246" s="1">
        <v>46140.900321539353</v>
      </c>
      <c r="C246" t="s">
        <v>29</v>
      </c>
      <c r="D246" t="s">
        <v>30</v>
      </c>
      <c r="E246">
        <v>282.04000000000002</v>
      </c>
      <c r="F246" t="s">
        <v>21</v>
      </c>
      <c r="G246" t="s">
        <v>58</v>
      </c>
      <c r="H246" t="s">
        <v>31</v>
      </c>
      <c r="I246" t="s">
        <v>28</v>
      </c>
    </row>
    <row r="247" spans="1:9" x14ac:dyDescent="0.3">
      <c r="A247">
        <v>10697</v>
      </c>
      <c r="B247" s="1">
        <v>46141.379421226848</v>
      </c>
      <c r="C247" t="s">
        <v>9</v>
      </c>
      <c r="D247" t="s">
        <v>10</v>
      </c>
      <c r="E247">
        <v>630.37</v>
      </c>
      <c r="F247" t="s">
        <v>21</v>
      </c>
      <c r="G247" t="s">
        <v>58</v>
      </c>
      <c r="H247" t="s">
        <v>64</v>
      </c>
      <c r="I247" t="s">
        <v>28</v>
      </c>
    </row>
    <row r="248" spans="1:9" x14ac:dyDescent="0.3">
      <c r="A248">
        <v>10698</v>
      </c>
      <c r="B248" s="1">
        <v>46141.858520902781</v>
      </c>
      <c r="C248" t="s">
        <v>15</v>
      </c>
      <c r="D248" t="s">
        <v>16</v>
      </c>
      <c r="E248">
        <v>678.09</v>
      </c>
      <c r="F248" t="s">
        <v>21</v>
      </c>
      <c r="G248" t="s">
        <v>58</v>
      </c>
      <c r="H248" t="s">
        <v>65</v>
      </c>
      <c r="I248" t="s">
        <v>28</v>
      </c>
    </row>
    <row r="249" spans="1:9" x14ac:dyDescent="0.3">
      <c r="A249">
        <v>10699</v>
      </c>
      <c r="B249" s="1">
        <v>46142.337620578714</v>
      </c>
      <c r="C249" t="s">
        <v>19</v>
      </c>
      <c r="D249" t="s">
        <v>20</v>
      </c>
      <c r="E249">
        <v>200.77</v>
      </c>
      <c r="F249" t="s">
        <v>21</v>
      </c>
      <c r="G249" t="s">
        <v>58</v>
      </c>
      <c r="H249" t="s">
        <v>27</v>
      </c>
      <c r="I249" t="s">
        <v>28</v>
      </c>
    </row>
    <row r="250" spans="1:9" x14ac:dyDescent="0.3">
      <c r="A250">
        <v>10700</v>
      </c>
      <c r="B250" s="1">
        <v>46142.816720254632</v>
      </c>
      <c r="C250" t="s">
        <v>24</v>
      </c>
      <c r="D250" t="s">
        <v>25</v>
      </c>
      <c r="E250">
        <v>693.21</v>
      </c>
      <c r="F250" t="s">
        <v>21</v>
      </c>
      <c r="G250" t="s">
        <v>58</v>
      </c>
      <c r="H250" t="s">
        <v>31</v>
      </c>
      <c r="I250" t="s">
        <v>28</v>
      </c>
    </row>
    <row r="251" spans="1:9" x14ac:dyDescent="0.3">
      <c r="A251">
        <v>10701</v>
      </c>
      <c r="B251" s="1">
        <v>46143.295819930558</v>
      </c>
      <c r="C251" t="s">
        <v>29</v>
      </c>
      <c r="D251" t="s">
        <v>30</v>
      </c>
      <c r="E251">
        <v>282.04000000000002</v>
      </c>
      <c r="F251" t="s">
        <v>21</v>
      </c>
      <c r="G251" t="s">
        <v>58</v>
      </c>
      <c r="H251" t="s">
        <v>64</v>
      </c>
      <c r="I251" t="s">
        <v>28</v>
      </c>
    </row>
    <row r="252" spans="1:9" x14ac:dyDescent="0.3">
      <c r="A252">
        <v>10702</v>
      </c>
      <c r="B252" s="1">
        <v>46143.774919618052</v>
      </c>
      <c r="C252" t="s">
        <v>9</v>
      </c>
      <c r="D252" t="s">
        <v>10</v>
      </c>
      <c r="E252">
        <v>631.12</v>
      </c>
      <c r="F252" t="s">
        <v>21</v>
      </c>
      <c r="G252" t="s">
        <v>58</v>
      </c>
      <c r="H252" t="s">
        <v>65</v>
      </c>
      <c r="I252" t="s">
        <v>28</v>
      </c>
    </row>
    <row r="253" spans="1:9" x14ac:dyDescent="0.3">
      <c r="A253">
        <v>10703</v>
      </c>
      <c r="B253" s="1">
        <v>46144.254019293992</v>
      </c>
      <c r="C253" t="s">
        <v>15</v>
      </c>
      <c r="D253" t="s">
        <v>16</v>
      </c>
      <c r="E253">
        <v>678.09</v>
      </c>
      <c r="F253" t="s">
        <v>21</v>
      </c>
      <c r="G253" t="s">
        <v>12</v>
      </c>
      <c r="H253" t="s">
        <v>27</v>
      </c>
      <c r="I253" t="s">
        <v>28</v>
      </c>
    </row>
    <row r="254" spans="1:9" x14ac:dyDescent="0.3">
      <c r="A254">
        <v>10704</v>
      </c>
      <c r="B254" s="1">
        <v>46144.733118969911</v>
      </c>
      <c r="C254" t="s">
        <v>19</v>
      </c>
      <c r="D254" t="s">
        <v>20</v>
      </c>
      <c r="E254">
        <v>200.65</v>
      </c>
      <c r="F254" t="s">
        <v>57</v>
      </c>
      <c r="G254" t="s">
        <v>12</v>
      </c>
      <c r="H254" t="s">
        <v>31</v>
      </c>
      <c r="I254" t="s">
        <v>28</v>
      </c>
    </row>
    <row r="255" spans="1:9" x14ac:dyDescent="0.3">
      <c r="A255">
        <v>10705</v>
      </c>
      <c r="B255" s="1">
        <v>46145.212218645836</v>
      </c>
      <c r="C255" t="s">
        <v>24</v>
      </c>
      <c r="D255" t="s">
        <v>25</v>
      </c>
      <c r="E255">
        <v>723.63</v>
      </c>
      <c r="F255" t="s">
        <v>57</v>
      </c>
      <c r="G255" t="s">
        <v>12</v>
      </c>
      <c r="H255" t="s">
        <v>64</v>
      </c>
      <c r="I255" t="s">
        <v>28</v>
      </c>
    </row>
    <row r="256" spans="1:9" x14ac:dyDescent="0.3">
      <c r="A256">
        <v>10706</v>
      </c>
      <c r="B256" s="1">
        <v>46145.691318333331</v>
      </c>
      <c r="C256" t="s">
        <v>29</v>
      </c>
      <c r="D256" t="s">
        <v>30</v>
      </c>
      <c r="E256">
        <v>301.99</v>
      </c>
      <c r="F256" t="s">
        <v>57</v>
      </c>
      <c r="G256" t="s">
        <v>12</v>
      </c>
      <c r="H256" t="s">
        <v>65</v>
      </c>
      <c r="I256" t="s">
        <v>28</v>
      </c>
    </row>
    <row r="257" spans="1:9" x14ac:dyDescent="0.3">
      <c r="A257">
        <v>10707</v>
      </c>
      <c r="B257" s="1">
        <v>46146.170418009257</v>
      </c>
      <c r="C257" t="s">
        <v>9</v>
      </c>
      <c r="D257" t="s">
        <v>10</v>
      </c>
      <c r="E257">
        <v>630.37</v>
      </c>
      <c r="F257" t="s">
        <v>57</v>
      </c>
      <c r="G257" t="s">
        <v>12</v>
      </c>
      <c r="H257" t="s">
        <v>27</v>
      </c>
      <c r="I257" t="s">
        <v>28</v>
      </c>
    </row>
    <row r="258" spans="1:9" x14ac:dyDescent="0.3">
      <c r="A258">
        <v>10708</v>
      </c>
      <c r="B258" s="1">
        <v>46146.649517685182</v>
      </c>
      <c r="C258" t="s">
        <v>15</v>
      </c>
      <c r="D258" t="s">
        <v>16</v>
      </c>
      <c r="E258">
        <v>677.97</v>
      </c>
      <c r="F258" t="s">
        <v>57</v>
      </c>
      <c r="G258" t="s">
        <v>12</v>
      </c>
      <c r="H258" t="s">
        <v>31</v>
      </c>
      <c r="I258" t="s">
        <v>28</v>
      </c>
    </row>
    <row r="259" spans="1:9" x14ac:dyDescent="0.3">
      <c r="A259">
        <v>10709</v>
      </c>
      <c r="B259" s="1">
        <v>46147.128617361108</v>
      </c>
      <c r="C259" t="s">
        <v>19</v>
      </c>
      <c r="D259" t="s">
        <v>20</v>
      </c>
      <c r="E259">
        <v>200.65</v>
      </c>
      <c r="F259" t="s">
        <v>57</v>
      </c>
      <c r="G259" t="s">
        <v>12</v>
      </c>
      <c r="H259" t="s">
        <v>64</v>
      </c>
      <c r="I259" t="s">
        <v>28</v>
      </c>
    </row>
    <row r="260" spans="1:9" x14ac:dyDescent="0.3">
      <c r="A260">
        <v>10710</v>
      </c>
      <c r="B260" s="1">
        <v>46147.607717037034</v>
      </c>
      <c r="C260" t="s">
        <v>24</v>
      </c>
      <c r="D260" t="s">
        <v>25</v>
      </c>
      <c r="E260">
        <v>754.43</v>
      </c>
      <c r="F260" t="s">
        <v>57</v>
      </c>
      <c r="G260" t="s">
        <v>12</v>
      </c>
      <c r="H260" t="s">
        <v>65</v>
      </c>
      <c r="I260" t="s">
        <v>28</v>
      </c>
    </row>
    <row r="261" spans="1:9" x14ac:dyDescent="0.3">
      <c r="A261">
        <v>10711</v>
      </c>
      <c r="B261" s="1">
        <v>46148.086816724543</v>
      </c>
      <c r="C261" t="s">
        <v>29</v>
      </c>
      <c r="D261" t="s">
        <v>30</v>
      </c>
      <c r="E261">
        <v>281.52999999999997</v>
      </c>
      <c r="F261" t="s">
        <v>57</v>
      </c>
      <c r="G261" t="s">
        <v>12</v>
      </c>
      <c r="H261" t="s">
        <v>27</v>
      </c>
      <c r="I261" t="s">
        <v>28</v>
      </c>
    </row>
    <row r="262" spans="1:9" x14ac:dyDescent="0.3">
      <c r="A262">
        <v>10712</v>
      </c>
      <c r="B262" s="1">
        <v>46148.565916400461</v>
      </c>
      <c r="C262" t="s">
        <v>9</v>
      </c>
      <c r="D262" t="s">
        <v>10</v>
      </c>
      <c r="E262">
        <v>630.49</v>
      </c>
      <c r="F262" t="s">
        <v>57</v>
      </c>
      <c r="G262" t="s">
        <v>12</v>
      </c>
      <c r="H262" t="s">
        <v>31</v>
      </c>
      <c r="I262" t="s">
        <v>28</v>
      </c>
    </row>
    <row r="263" spans="1:9" x14ac:dyDescent="0.3">
      <c r="A263">
        <v>10713</v>
      </c>
      <c r="B263" s="1">
        <v>46149.045016076387</v>
      </c>
      <c r="C263" t="s">
        <v>15</v>
      </c>
      <c r="D263" t="s">
        <v>16</v>
      </c>
      <c r="E263">
        <v>678.34</v>
      </c>
      <c r="F263" t="s">
        <v>57</v>
      </c>
      <c r="G263" t="s">
        <v>12</v>
      </c>
      <c r="H263" t="s">
        <v>64</v>
      </c>
      <c r="I263" t="s">
        <v>28</v>
      </c>
    </row>
    <row r="264" spans="1:9" x14ac:dyDescent="0.3">
      <c r="A264">
        <v>10714</v>
      </c>
      <c r="B264" s="1">
        <v>46149.524115752312</v>
      </c>
      <c r="C264" t="s">
        <v>19</v>
      </c>
      <c r="D264" t="s">
        <v>66</v>
      </c>
      <c r="E264">
        <v>200.92</v>
      </c>
      <c r="F264" t="s">
        <v>11</v>
      </c>
      <c r="G264" t="s">
        <v>58</v>
      </c>
      <c r="H264" t="s">
        <v>47</v>
      </c>
      <c r="I264" t="s">
        <v>23</v>
      </c>
    </row>
    <row r="265" spans="1:9" x14ac:dyDescent="0.3">
      <c r="A265">
        <v>10715</v>
      </c>
      <c r="B265" s="1">
        <v>46150.003215439807</v>
      </c>
      <c r="C265" t="s">
        <v>19</v>
      </c>
      <c r="D265" t="s">
        <v>67</v>
      </c>
      <c r="E265">
        <v>200.85</v>
      </c>
      <c r="F265" t="s">
        <v>21</v>
      </c>
      <c r="G265" t="s">
        <v>26</v>
      </c>
      <c r="H265" t="s">
        <v>41</v>
      </c>
      <c r="I265" t="s">
        <v>18</v>
      </c>
    </row>
    <row r="266" spans="1:9" x14ac:dyDescent="0.3">
      <c r="A266">
        <v>10716</v>
      </c>
      <c r="B266" s="1">
        <v>46150.48231511574</v>
      </c>
      <c r="C266" t="s">
        <v>19</v>
      </c>
      <c r="D266" t="s">
        <v>68</v>
      </c>
      <c r="E266">
        <v>201.22</v>
      </c>
      <c r="F266" t="s">
        <v>11</v>
      </c>
      <c r="G266" t="s">
        <v>26</v>
      </c>
      <c r="H266" t="s">
        <v>63</v>
      </c>
      <c r="I266" t="s">
        <v>14</v>
      </c>
    </row>
    <row r="267" spans="1:9" x14ac:dyDescent="0.3">
      <c r="A267">
        <v>10717</v>
      </c>
      <c r="B267" s="1">
        <v>46150.961414791673</v>
      </c>
      <c r="C267" t="s">
        <v>19</v>
      </c>
      <c r="D267" t="s">
        <v>69</v>
      </c>
      <c r="E267">
        <v>201.07</v>
      </c>
      <c r="F267" t="s">
        <v>11</v>
      </c>
      <c r="G267" t="s">
        <v>26</v>
      </c>
      <c r="H267" t="s">
        <v>60</v>
      </c>
      <c r="I267" t="s">
        <v>14</v>
      </c>
    </row>
    <row r="268" spans="1:9" x14ac:dyDescent="0.3">
      <c r="A268">
        <v>10718</v>
      </c>
      <c r="B268" s="1">
        <v>46151.440514467591</v>
      </c>
      <c r="C268" t="s">
        <v>19</v>
      </c>
      <c r="D268" t="s">
        <v>70</v>
      </c>
      <c r="E268">
        <v>200.99</v>
      </c>
      <c r="F268" t="s">
        <v>57</v>
      </c>
      <c r="G268" t="s">
        <v>26</v>
      </c>
      <c r="H268" t="s">
        <v>40</v>
      </c>
      <c r="I268" t="s">
        <v>18</v>
      </c>
    </row>
    <row r="269" spans="1:9" x14ac:dyDescent="0.3">
      <c r="A269">
        <v>10719</v>
      </c>
      <c r="B269" s="1">
        <v>46151.919614143517</v>
      </c>
      <c r="C269" t="s">
        <v>24</v>
      </c>
      <c r="D269" t="s">
        <v>71</v>
      </c>
      <c r="E269">
        <v>585.55999999999995</v>
      </c>
      <c r="F269" t="s">
        <v>11</v>
      </c>
      <c r="G269" t="s">
        <v>12</v>
      </c>
      <c r="H269" t="s">
        <v>62</v>
      </c>
      <c r="I269" t="s">
        <v>14</v>
      </c>
    </row>
    <row r="270" spans="1:9" x14ac:dyDescent="0.3">
      <c r="A270">
        <v>10720</v>
      </c>
      <c r="B270" s="1">
        <v>46152.398713831019</v>
      </c>
      <c r="C270" t="s">
        <v>19</v>
      </c>
      <c r="D270" t="s">
        <v>72</v>
      </c>
      <c r="E270">
        <v>201.76</v>
      </c>
      <c r="F270" t="s">
        <v>21</v>
      </c>
      <c r="G270" t="s">
        <v>12</v>
      </c>
      <c r="H270" t="s">
        <v>51</v>
      </c>
      <c r="I270" t="s">
        <v>23</v>
      </c>
    </row>
    <row r="271" spans="1:9" x14ac:dyDescent="0.3">
      <c r="A271">
        <v>10721</v>
      </c>
      <c r="B271" s="1">
        <v>46152.877813506937</v>
      </c>
      <c r="C271" t="s">
        <v>19</v>
      </c>
      <c r="D271" t="s">
        <v>73</v>
      </c>
      <c r="E271">
        <v>200.82</v>
      </c>
      <c r="F271" t="s">
        <v>11</v>
      </c>
      <c r="G271" t="s">
        <v>12</v>
      </c>
      <c r="H271" t="s">
        <v>59</v>
      </c>
      <c r="I271" t="s">
        <v>23</v>
      </c>
    </row>
    <row r="272" spans="1:9" x14ac:dyDescent="0.3">
      <c r="A272">
        <v>10722</v>
      </c>
      <c r="B272" s="1">
        <v>46153.35691318287</v>
      </c>
      <c r="C272" t="s">
        <v>29</v>
      </c>
      <c r="D272" t="s">
        <v>74</v>
      </c>
      <c r="E272">
        <v>202.12</v>
      </c>
      <c r="F272" t="s">
        <v>21</v>
      </c>
      <c r="G272" t="s">
        <v>26</v>
      </c>
      <c r="H272" t="s">
        <v>40</v>
      </c>
      <c r="I272" t="s">
        <v>18</v>
      </c>
    </row>
    <row r="273" spans="1:9" x14ac:dyDescent="0.3">
      <c r="A273">
        <v>10723</v>
      </c>
      <c r="B273" s="1">
        <v>46153.836012858803</v>
      </c>
      <c r="C273" t="s">
        <v>9</v>
      </c>
      <c r="D273" t="s">
        <v>75</v>
      </c>
      <c r="E273">
        <v>631.07000000000005</v>
      </c>
      <c r="F273" t="s">
        <v>11</v>
      </c>
      <c r="G273" t="s">
        <v>12</v>
      </c>
      <c r="H273" t="s">
        <v>62</v>
      </c>
      <c r="I273" t="s">
        <v>14</v>
      </c>
    </row>
    <row r="274" spans="1:9" x14ac:dyDescent="0.3">
      <c r="A274">
        <v>10724</v>
      </c>
      <c r="B274" s="1">
        <v>46154.315112534721</v>
      </c>
      <c r="C274" t="s">
        <v>15</v>
      </c>
      <c r="D274" t="s">
        <v>76</v>
      </c>
      <c r="E274">
        <v>678.27</v>
      </c>
      <c r="F274" t="s">
        <v>11</v>
      </c>
      <c r="G274" t="s">
        <v>26</v>
      </c>
      <c r="H274" t="s">
        <v>63</v>
      </c>
      <c r="I274" t="s">
        <v>14</v>
      </c>
    </row>
    <row r="275" spans="1:9" x14ac:dyDescent="0.3">
      <c r="A275">
        <v>10725</v>
      </c>
      <c r="B275" s="1">
        <v>46154.794212222223</v>
      </c>
      <c r="C275" t="s">
        <v>24</v>
      </c>
      <c r="D275" t="s">
        <v>71</v>
      </c>
      <c r="E275">
        <v>539.80999999999995</v>
      </c>
      <c r="F275" t="s">
        <v>11</v>
      </c>
      <c r="G275" t="s">
        <v>26</v>
      </c>
      <c r="H275" t="s">
        <v>60</v>
      </c>
      <c r="I275" t="s">
        <v>14</v>
      </c>
    </row>
    <row r="276" spans="1:9" x14ac:dyDescent="0.3">
      <c r="A276">
        <v>10726</v>
      </c>
      <c r="B276" s="1">
        <v>46155.273311898149</v>
      </c>
      <c r="C276" t="s">
        <v>15</v>
      </c>
      <c r="D276" t="s">
        <v>77</v>
      </c>
      <c r="E276">
        <v>678.85</v>
      </c>
      <c r="F276" t="s">
        <v>11</v>
      </c>
      <c r="G276" t="s">
        <v>12</v>
      </c>
      <c r="H276" t="s">
        <v>61</v>
      </c>
      <c r="I276" t="s">
        <v>14</v>
      </c>
    </row>
    <row r="277" spans="1:9" x14ac:dyDescent="0.3">
      <c r="A277">
        <v>10727</v>
      </c>
      <c r="B277" s="1">
        <v>46155.752411574067</v>
      </c>
      <c r="C277" t="s">
        <v>9</v>
      </c>
      <c r="D277" t="s">
        <v>78</v>
      </c>
      <c r="E277">
        <v>573.66999999999996</v>
      </c>
      <c r="F277" t="s">
        <v>11</v>
      </c>
      <c r="G277" t="s">
        <v>26</v>
      </c>
      <c r="H277" t="s">
        <v>38</v>
      </c>
      <c r="I277" t="s">
        <v>33</v>
      </c>
    </row>
    <row r="278" spans="1:9" x14ac:dyDescent="0.3">
      <c r="A278">
        <v>10728</v>
      </c>
      <c r="B278" s="1">
        <v>46156.23151125</v>
      </c>
      <c r="C278" t="s">
        <v>29</v>
      </c>
      <c r="D278" t="s">
        <v>79</v>
      </c>
      <c r="E278">
        <v>202.36</v>
      </c>
      <c r="F278" t="s">
        <v>57</v>
      </c>
      <c r="G278" t="s">
        <v>26</v>
      </c>
      <c r="H278" t="s">
        <v>63</v>
      </c>
      <c r="I278" t="s">
        <v>14</v>
      </c>
    </row>
    <row r="279" spans="1:9" x14ac:dyDescent="0.3">
      <c r="A279">
        <v>10729</v>
      </c>
      <c r="B279" s="1">
        <v>46156.710610937502</v>
      </c>
      <c r="C279" t="s">
        <v>24</v>
      </c>
      <c r="D279" t="s">
        <v>80</v>
      </c>
      <c r="E279">
        <v>647.92999999999995</v>
      </c>
      <c r="F279" t="s">
        <v>21</v>
      </c>
      <c r="G279" t="s">
        <v>58</v>
      </c>
      <c r="H279" t="s">
        <v>59</v>
      </c>
      <c r="I279" t="s">
        <v>23</v>
      </c>
    </row>
    <row r="280" spans="1:9" x14ac:dyDescent="0.3">
      <c r="A280">
        <v>10730</v>
      </c>
      <c r="B280" s="1">
        <v>46157.189710613427</v>
      </c>
      <c r="C280" t="s">
        <v>9</v>
      </c>
      <c r="D280" t="s">
        <v>81</v>
      </c>
      <c r="E280">
        <v>631.03</v>
      </c>
      <c r="F280" t="s">
        <v>11</v>
      </c>
      <c r="G280" t="s">
        <v>26</v>
      </c>
      <c r="H280" t="s">
        <v>61</v>
      </c>
      <c r="I280" t="s">
        <v>14</v>
      </c>
    </row>
    <row r="281" spans="1:9" x14ac:dyDescent="0.3">
      <c r="A281">
        <v>10731</v>
      </c>
      <c r="B281" s="1">
        <v>46157.668810289353</v>
      </c>
      <c r="C281" t="s">
        <v>9</v>
      </c>
      <c r="D281" t="s">
        <v>82</v>
      </c>
      <c r="E281">
        <v>631.5</v>
      </c>
      <c r="F281" t="s">
        <v>11</v>
      </c>
      <c r="G281" t="s">
        <v>58</v>
      </c>
      <c r="H281" t="s">
        <v>62</v>
      </c>
      <c r="I281" t="s">
        <v>14</v>
      </c>
    </row>
    <row r="282" spans="1:9" x14ac:dyDescent="0.3">
      <c r="A282">
        <v>10732</v>
      </c>
      <c r="B282" s="1">
        <v>46158.147909965279</v>
      </c>
      <c r="C282" t="s">
        <v>19</v>
      </c>
      <c r="D282" t="s">
        <v>83</v>
      </c>
      <c r="E282">
        <v>201.51</v>
      </c>
      <c r="F282" t="s">
        <v>11</v>
      </c>
      <c r="G282" t="s">
        <v>26</v>
      </c>
      <c r="H282" t="s">
        <v>35</v>
      </c>
      <c r="I282" t="s">
        <v>33</v>
      </c>
    </row>
    <row r="283" spans="1:9" x14ac:dyDescent="0.3">
      <c r="A283">
        <v>10733</v>
      </c>
      <c r="B283" s="1">
        <v>46158.627009641197</v>
      </c>
      <c r="C283" t="s">
        <v>24</v>
      </c>
      <c r="D283" t="s">
        <v>84</v>
      </c>
      <c r="E283">
        <v>570.67999999999995</v>
      </c>
      <c r="F283" t="s">
        <v>21</v>
      </c>
      <c r="G283" t="s">
        <v>26</v>
      </c>
      <c r="H283" t="s">
        <v>64</v>
      </c>
      <c r="I283" t="s">
        <v>28</v>
      </c>
    </row>
    <row r="284" spans="1:9" x14ac:dyDescent="0.3">
      <c r="A284">
        <v>10734</v>
      </c>
      <c r="B284" s="1">
        <v>46159.106109328714</v>
      </c>
      <c r="C284" t="s">
        <v>9</v>
      </c>
      <c r="D284" t="s">
        <v>85</v>
      </c>
      <c r="E284">
        <v>630.51</v>
      </c>
      <c r="F284" t="s">
        <v>21</v>
      </c>
      <c r="G284" t="s">
        <v>58</v>
      </c>
      <c r="H284" t="s">
        <v>47</v>
      </c>
      <c r="I284" t="s">
        <v>23</v>
      </c>
    </row>
    <row r="285" spans="1:9" x14ac:dyDescent="0.3">
      <c r="A285">
        <v>10735</v>
      </c>
      <c r="B285" s="1">
        <v>46159.585209004632</v>
      </c>
      <c r="C285" t="s">
        <v>9</v>
      </c>
      <c r="D285" t="s">
        <v>86</v>
      </c>
      <c r="E285">
        <v>631.41999999999996</v>
      </c>
      <c r="F285" t="s">
        <v>57</v>
      </c>
      <c r="G285" t="s">
        <v>26</v>
      </c>
      <c r="H285" t="s">
        <v>41</v>
      </c>
      <c r="I285" t="s">
        <v>18</v>
      </c>
    </row>
    <row r="286" spans="1:9" x14ac:dyDescent="0.3">
      <c r="A286">
        <v>10736</v>
      </c>
      <c r="B286" s="1">
        <v>46160.064308680558</v>
      </c>
      <c r="C286" t="s">
        <v>29</v>
      </c>
      <c r="D286" t="s">
        <v>87</v>
      </c>
      <c r="E286">
        <v>302.63</v>
      </c>
      <c r="F286" t="s">
        <v>57</v>
      </c>
      <c r="G286" t="s">
        <v>12</v>
      </c>
      <c r="H286" t="s">
        <v>31</v>
      </c>
      <c r="I286" t="s">
        <v>28</v>
      </c>
    </row>
    <row r="287" spans="1:9" x14ac:dyDescent="0.3">
      <c r="A287">
        <v>10737</v>
      </c>
      <c r="B287" s="1">
        <v>46160.543408356483</v>
      </c>
      <c r="C287" t="s">
        <v>29</v>
      </c>
      <c r="D287" t="s">
        <v>88</v>
      </c>
      <c r="E287">
        <v>201.88</v>
      </c>
      <c r="F287" t="s">
        <v>57</v>
      </c>
      <c r="G287" t="s">
        <v>58</v>
      </c>
      <c r="H287" t="s">
        <v>36</v>
      </c>
      <c r="I287" t="s">
        <v>33</v>
      </c>
    </row>
    <row r="288" spans="1:9" x14ac:dyDescent="0.3">
      <c r="A288">
        <v>10738</v>
      </c>
      <c r="B288" s="1">
        <v>46161.022508043978</v>
      </c>
      <c r="C288" t="s">
        <v>24</v>
      </c>
      <c r="D288" t="s">
        <v>89</v>
      </c>
      <c r="E288">
        <v>493.57</v>
      </c>
      <c r="F288" t="s">
        <v>11</v>
      </c>
      <c r="G288" t="s">
        <v>26</v>
      </c>
      <c r="H288" t="s">
        <v>61</v>
      </c>
      <c r="I288" t="s">
        <v>14</v>
      </c>
    </row>
    <row r="289" spans="1:9" x14ac:dyDescent="0.3">
      <c r="A289">
        <v>10739</v>
      </c>
      <c r="B289" s="1">
        <v>46161.501607719911</v>
      </c>
      <c r="C289" t="s">
        <v>29</v>
      </c>
      <c r="D289" t="s">
        <v>90</v>
      </c>
      <c r="E289">
        <v>282.33</v>
      </c>
      <c r="F289" t="s">
        <v>21</v>
      </c>
      <c r="G289" t="s">
        <v>58</v>
      </c>
      <c r="H289" t="s">
        <v>27</v>
      </c>
      <c r="I289" t="s">
        <v>28</v>
      </c>
    </row>
    <row r="290" spans="1:9" x14ac:dyDescent="0.3">
      <c r="A290">
        <v>10740</v>
      </c>
      <c r="B290" s="1">
        <v>46161.980707395844</v>
      </c>
      <c r="C290" t="s">
        <v>19</v>
      </c>
      <c r="D290" t="s">
        <v>91</v>
      </c>
      <c r="E290">
        <v>201.38</v>
      </c>
      <c r="F290" t="s">
        <v>21</v>
      </c>
      <c r="G290" t="s">
        <v>58</v>
      </c>
      <c r="H290" t="s">
        <v>31</v>
      </c>
      <c r="I290" t="s">
        <v>28</v>
      </c>
    </row>
    <row r="291" spans="1:9" x14ac:dyDescent="0.3">
      <c r="A291">
        <v>10741</v>
      </c>
      <c r="B291" s="1">
        <v>46162.459807071762</v>
      </c>
      <c r="C291" t="s">
        <v>9</v>
      </c>
      <c r="D291" t="s">
        <v>92</v>
      </c>
      <c r="E291">
        <v>688.3</v>
      </c>
      <c r="F291" t="s">
        <v>57</v>
      </c>
      <c r="G291" t="s">
        <v>58</v>
      </c>
      <c r="H291" t="s">
        <v>59</v>
      </c>
      <c r="I291" t="s">
        <v>23</v>
      </c>
    </row>
    <row r="292" spans="1:9" x14ac:dyDescent="0.3">
      <c r="A292">
        <v>10742</v>
      </c>
      <c r="B292" s="1">
        <v>46162.938906747688</v>
      </c>
      <c r="C292" t="s">
        <v>29</v>
      </c>
      <c r="D292" t="s">
        <v>93</v>
      </c>
      <c r="E292">
        <v>202.03</v>
      </c>
      <c r="F292" t="s">
        <v>11</v>
      </c>
      <c r="G292" t="s">
        <v>26</v>
      </c>
      <c r="H292" t="s">
        <v>61</v>
      </c>
      <c r="I292" t="s">
        <v>14</v>
      </c>
    </row>
    <row r="293" spans="1:9" x14ac:dyDescent="0.3">
      <c r="A293">
        <v>10743</v>
      </c>
      <c r="B293" s="1">
        <v>46163.418006435182</v>
      </c>
      <c r="C293" t="s">
        <v>15</v>
      </c>
      <c r="D293" t="s">
        <v>94</v>
      </c>
      <c r="E293">
        <v>678.38</v>
      </c>
      <c r="F293" t="s">
        <v>11</v>
      </c>
      <c r="G293" t="s">
        <v>26</v>
      </c>
      <c r="H293" t="s">
        <v>38</v>
      </c>
      <c r="I293" t="s">
        <v>33</v>
      </c>
    </row>
    <row r="294" spans="1:9" x14ac:dyDescent="0.3">
      <c r="A294">
        <v>10744</v>
      </c>
      <c r="B294" s="1">
        <v>46163.897106111108</v>
      </c>
      <c r="C294" t="s">
        <v>15</v>
      </c>
      <c r="D294" t="s">
        <v>95</v>
      </c>
      <c r="E294">
        <v>746.97</v>
      </c>
      <c r="F294" t="s">
        <v>57</v>
      </c>
      <c r="G294" t="s">
        <v>26</v>
      </c>
      <c r="H294" t="s">
        <v>63</v>
      </c>
      <c r="I294" t="s">
        <v>14</v>
      </c>
    </row>
    <row r="295" spans="1:9" x14ac:dyDescent="0.3">
      <c r="A295">
        <v>10745</v>
      </c>
      <c r="B295" s="1">
        <v>46164.376205787034</v>
      </c>
      <c r="C295" t="s">
        <v>24</v>
      </c>
      <c r="D295" t="s">
        <v>96</v>
      </c>
      <c r="E295">
        <v>693.06</v>
      </c>
      <c r="F295" t="s">
        <v>21</v>
      </c>
      <c r="G295" t="s">
        <v>58</v>
      </c>
      <c r="H295" t="s">
        <v>64</v>
      </c>
      <c r="I295" t="s">
        <v>28</v>
      </c>
    </row>
    <row r="296" spans="1:9" x14ac:dyDescent="0.3">
      <c r="A296">
        <v>10746</v>
      </c>
      <c r="B296" s="1">
        <v>46164.855305462966</v>
      </c>
      <c r="C296" t="s">
        <v>9</v>
      </c>
      <c r="D296" t="s">
        <v>97</v>
      </c>
      <c r="E296">
        <v>688.43</v>
      </c>
      <c r="F296" t="s">
        <v>57</v>
      </c>
      <c r="G296" t="s">
        <v>58</v>
      </c>
      <c r="H296" t="s">
        <v>37</v>
      </c>
      <c r="I296" t="s">
        <v>33</v>
      </c>
    </row>
    <row r="297" spans="1:9" x14ac:dyDescent="0.3">
      <c r="A297">
        <v>10747</v>
      </c>
      <c r="B297" s="1">
        <v>46165.334405150461</v>
      </c>
      <c r="C297" t="s">
        <v>24</v>
      </c>
      <c r="D297" t="s">
        <v>98</v>
      </c>
      <c r="E297">
        <v>570.12</v>
      </c>
      <c r="F297" t="s">
        <v>11</v>
      </c>
      <c r="G297" t="s">
        <v>58</v>
      </c>
      <c r="H297" t="s">
        <v>55</v>
      </c>
      <c r="I297" t="s">
        <v>23</v>
      </c>
    </row>
    <row r="298" spans="1:9" x14ac:dyDescent="0.3">
      <c r="A298">
        <v>10748</v>
      </c>
      <c r="B298" s="1">
        <v>46165.813504826387</v>
      </c>
      <c r="C298" t="s">
        <v>24</v>
      </c>
      <c r="D298" t="s">
        <v>99</v>
      </c>
      <c r="E298">
        <v>524.55999999999995</v>
      </c>
      <c r="F298" t="s">
        <v>11</v>
      </c>
      <c r="G298" t="s">
        <v>26</v>
      </c>
      <c r="H298" t="s">
        <v>35</v>
      </c>
      <c r="I298" t="s">
        <v>33</v>
      </c>
    </row>
    <row r="299" spans="1:9" x14ac:dyDescent="0.3">
      <c r="A299">
        <v>10749</v>
      </c>
      <c r="B299" s="1">
        <v>46166.292604502312</v>
      </c>
      <c r="C299" t="s">
        <v>15</v>
      </c>
      <c r="D299" t="s">
        <v>100</v>
      </c>
      <c r="E299">
        <v>678.76</v>
      </c>
      <c r="F299" t="s">
        <v>21</v>
      </c>
      <c r="G299" t="s">
        <v>58</v>
      </c>
      <c r="H299" t="s">
        <v>59</v>
      </c>
      <c r="I299" t="s">
        <v>23</v>
      </c>
    </row>
    <row r="300" spans="1:9" x14ac:dyDescent="0.3">
      <c r="A300">
        <v>10750</v>
      </c>
      <c r="B300" s="1">
        <v>46166.771704178238</v>
      </c>
      <c r="C300" t="s">
        <v>24</v>
      </c>
      <c r="D300" t="s">
        <v>101</v>
      </c>
      <c r="E300">
        <v>462.95</v>
      </c>
      <c r="F300" t="s">
        <v>57</v>
      </c>
      <c r="G300" t="s">
        <v>26</v>
      </c>
      <c r="H300" t="s">
        <v>61</v>
      </c>
      <c r="I300" t="s">
        <v>14</v>
      </c>
    </row>
    <row r="301" spans="1:9" x14ac:dyDescent="0.3">
      <c r="A301">
        <v>10751</v>
      </c>
      <c r="B301" s="1">
        <v>46167.250803854156</v>
      </c>
      <c r="C301" t="s">
        <v>15</v>
      </c>
      <c r="D301" t="s">
        <v>102</v>
      </c>
      <c r="E301">
        <v>678.84</v>
      </c>
      <c r="F301" t="s">
        <v>21</v>
      </c>
      <c r="G301" t="s">
        <v>26</v>
      </c>
      <c r="H301" t="s">
        <v>38</v>
      </c>
      <c r="I301" t="s">
        <v>33</v>
      </c>
    </row>
    <row r="302" spans="1:9" x14ac:dyDescent="0.3">
      <c r="A302">
        <v>10513</v>
      </c>
      <c r="B302" s="1">
        <v>46167.729903541673</v>
      </c>
      <c r="C302" t="s">
        <v>15</v>
      </c>
      <c r="D302" t="s">
        <v>16</v>
      </c>
      <c r="E302">
        <v>678.09</v>
      </c>
      <c r="F302" t="s">
        <v>57</v>
      </c>
      <c r="G302" t="s">
        <v>58</v>
      </c>
      <c r="H302" t="s">
        <v>56</v>
      </c>
      <c r="I302" t="s">
        <v>23</v>
      </c>
    </row>
    <row r="303" spans="1:9" x14ac:dyDescent="0.3">
      <c r="A303">
        <v>10671</v>
      </c>
      <c r="B303" s="1">
        <v>46168.209003217591</v>
      </c>
      <c r="C303" t="s">
        <v>29</v>
      </c>
      <c r="D303" t="s">
        <v>30</v>
      </c>
      <c r="E303">
        <v>221.11</v>
      </c>
      <c r="F303" t="s">
        <v>21</v>
      </c>
      <c r="G303" t="s">
        <v>58</v>
      </c>
      <c r="H303" t="s">
        <v>59</v>
      </c>
      <c r="I303" t="s">
        <v>23</v>
      </c>
    </row>
    <row r="304" spans="1:9" x14ac:dyDescent="0.3">
      <c r="A304">
        <v>10507</v>
      </c>
      <c r="B304" s="1">
        <v>46168.688102893517</v>
      </c>
      <c r="C304" t="s">
        <v>9</v>
      </c>
      <c r="D304" t="s">
        <v>10</v>
      </c>
      <c r="E304">
        <v>688.43</v>
      </c>
      <c r="F304" t="s">
        <v>57</v>
      </c>
      <c r="G304" t="s">
        <v>26</v>
      </c>
      <c r="H304" t="s">
        <v>40</v>
      </c>
      <c r="I304" t="s">
        <v>18</v>
      </c>
    </row>
    <row r="305" spans="1:9" x14ac:dyDescent="0.3">
      <c r="A305">
        <v>10696</v>
      </c>
      <c r="B305" s="1">
        <v>46169.167202569442</v>
      </c>
      <c r="C305" t="s">
        <v>29</v>
      </c>
      <c r="D305" t="s">
        <v>30</v>
      </c>
      <c r="E305">
        <v>282.04000000000002</v>
      </c>
      <c r="F305" t="s">
        <v>21</v>
      </c>
      <c r="G305" t="s">
        <v>58</v>
      </c>
      <c r="H305" t="s">
        <v>27</v>
      </c>
      <c r="I305" t="s">
        <v>28</v>
      </c>
    </row>
    <row r="306" spans="1:9" x14ac:dyDescent="0.3">
      <c r="A306">
        <v>10547</v>
      </c>
      <c r="B306" s="1">
        <v>46169.646302245368</v>
      </c>
      <c r="C306" t="s">
        <v>9</v>
      </c>
      <c r="D306" t="s">
        <v>10</v>
      </c>
      <c r="E306">
        <v>631</v>
      </c>
      <c r="F306" t="s">
        <v>57</v>
      </c>
      <c r="G306" t="s">
        <v>26</v>
      </c>
      <c r="H306" t="s">
        <v>63</v>
      </c>
      <c r="I306" t="s">
        <v>14</v>
      </c>
    </row>
    <row r="307" spans="1:9" x14ac:dyDescent="0.3">
      <c r="A307">
        <v>10582</v>
      </c>
      <c r="B307" s="1">
        <v>46170.12540193287</v>
      </c>
      <c r="C307" t="s">
        <v>9</v>
      </c>
      <c r="D307" t="s">
        <v>10</v>
      </c>
      <c r="E307">
        <v>630.62</v>
      </c>
      <c r="F307" t="s">
        <v>11</v>
      </c>
      <c r="G307" t="s">
        <v>26</v>
      </c>
      <c r="H307" t="s">
        <v>60</v>
      </c>
      <c r="I307" t="s">
        <v>14</v>
      </c>
    </row>
    <row r="308" spans="1:9" x14ac:dyDescent="0.3">
      <c r="A308">
        <v>10736</v>
      </c>
      <c r="B308" s="1">
        <v>46170.604501608803</v>
      </c>
      <c r="C308" t="s">
        <v>29</v>
      </c>
      <c r="D308" t="s">
        <v>87</v>
      </c>
      <c r="E308">
        <v>302.63</v>
      </c>
      <c r="F308" t="s">
        <v>57</v>
      </c>
      <c r="G308" t="s">
        <v>12</v>
      </c>
      <c r="H308" t="s">
        <v>65</v>
      </c>
      <c r="I308" t="s">
        <v>28</v>
      </c>
    </row>
    <row r="309" spans="1:9" x14ac:dyDescent="0.3">
      <c r="A309">
        <v>10606</v>
      </c>
      <c r="B309" s="1">
        <v>46171.083601284721</v>
      </c>
      <c r="C309" t="s">
        <v>29</v>
      </c>
      <c r="D309" t="s">
        <v>30</v>
      </c>
      <c r="E309">
        <v>201.01</v>
      </c>
      <c r="F309" t="s">
        <v>11</v>
      </c>
      <c r="G309" t="s">
        <v>58</v>
      </c>
      <c r="H309" t="s">
        <v>62</v>
      </c>
      <c r="I309" t="s">
        <v>14</v>
      </c>
    </row>
    <row r="310" spans="1:9" x14ac:dyDescent="0.3">
      <c r="A310">
        <v>10642</v>
      </c>
      <c r="B310" s="1">
        <v>46171.562700960647</v>
      </c>
      <c r="C310" t="s">
        <v>9</v>
      </c>
      <c r="D310" t="s">
        <v>10</v>
      </c>
      <c r="E310">
        <v>630.74</v>
      </c>
      <c r="F310" t="s">
        <v>11</v>
      </c>
      <c r="G310" t="s">
        <v>58</v>
      </c>
      <c r="H310" t="s">
        <v>56</v>
      </c>
      <c r="I310" t="s">
        <v>23</v>
      </c>
    </row>
    <row r="311" spans="1:9" x14ac:dyDescent="0.3">
      <c r="A311">
        <v>10673</v>
      </c>
      <c r="B311" s="1">
        <v>46172.041800648149</v>
      </c>
      <c r="C311" t="s">
        <v>15</v>
      </c>
      <c r="D311" t="s">
        <v>16</v>
      </c>
      <c r="E311">
        <v>746.01</v>
      </c>
      <c r="F311" t="s">
        <v>21</v>
      </c>
      <c r="G311" t="s">
        <v>58</v>
      </c>
      <c r="H311" t="s">
        <v>59</v>
      </c>
      <c r="I311" t="s">
        <v>23</v>
      </c>
    </row>
    <row r="312" spans="1:9" x14ac:dyDescent="0.3">
      <c r="A312">
        <v>10629</v>
      </c>
      <c r="B312" s="1">
        <v>46172.520900324067</v>
      </c>
      <c r="C312" t="s">
        <v>19</v>
      </c>
      <c r="D312" t="s">
        <v>20</v>
      </c>
      <c r="E312">
        <v>201.15</v>
      </c>
      <c r="F312" t="s">
        <v>11</v>
      </c>
      <c r="G312" t="s">
        <v>12</v>
      </c>
      <c r="H312" t="s">
        <v>47</v>
      </c>
      <c r="I312" t="s">
        <v>23</v>
      </c>
    </row>
    <row r="313" spans="1:9" x14ac:dyDescent="0.3">
      <c r="A313">
        <v>10632</v>
      </c>
      <c r="B313" s="1">
        <v>46173</v>
      </c>
      <c r="C313" t="s">
        <v>9</v>
      </c>
      <c r="D313" t="s">
        <v>10</v>
      </c>
      <c r="E313">
        <v>630.85</v>
      </c>
      <c r="F313" t="s">
        <v>11</v>
      </c>
      <c r="G313" t="s">
        <v>12</v>
      </c>
      <c r="H313" t="s">
        <v>55</v>
      </c>
      <c r="I313"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D45E-50D5-4E46-B63F-FE24BCAA0A4A}">
  <dimension ref="A3:B9"/>
  <sheetViews>
    <sheetView workbookViewId="0">
      <selection activeCell="N22" sqref="N22"/>
    </sheetView>
  </sheetViews>
  <sheetFormatPr defaultRowHeight="14.4" x14ac:dyDescent="0.3"/>
  <cols>
    <col min="1" max="1" width="17.44140625" bestFit="1" customWidth="1"/>
    <col min="2" max="2" width="14.88671875" bestFit="1" customWidth="1"/>
  </cols>
  <sheetData>
    <row r="3" spans="1:2" x14ac:dyDescent="0.3">
      <c r="A3" s="3" t="s">
        <v>109</v>
      </c>
      <c r="B3" t="s">
        <v>111</v>
      </c>
    </row>
    <row r="4" spans="1:2" x14ac:dyDescent="0.3">
      <c r="A4" s="4" t="s">
        <v>15</v>
      </c>
      <c r="B4" s="7">
        <v>146517.46000000005</v>
      </c>
    </row>
    <row r="5" spans="1:2" x14ac:dyDescent="0.3">
      <c r="A5" s="4" t="s">
        <v>24</v>
      </c>
      <c r="B5" s="7">
        <v>458804.54000000004</v>
      </c>
    </row>
    <row r="6" spans="1:2" x14ac:dyDescent="0.3">
      <c r="A6" s="4" t="s">
        <v>29</v>
      </c>
      <c r="B6" s="7">
        <v>138671.38999999993</v>
      </c>
    </row>
    <row r="7" spans="1:2" x14ac:dyDescent="0.3">
      <c r="A7" s="4" t="s">
        <v>9</v>
      </c>
      <c r="B7" s="7">
        <v>159023.32000000007</v>
      </c>
    </row>
    <row r="8" spans="1:2" x14ac:dyDescent="0.3">
      <c r="A8" s="4" t="s">
        <v>19</v>
      </c>
      <c r="B8" s="7">
        <v>64681.360000000008</v>
      </c>
    </row>
    <row r="9" spans="1:2" x14ac:dyDescent="0.3">
      <c r="A9" s="4" t="s">
        <v>110</v>
      </c>
      <c r="B9" s="7">
        <v>967698.07000000007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E6517-0D86-4AAA-976F-028009C180C9}">
  <dimension ref="A3:B9"/>
  <sheetViews>
    <sheetView workbookViewId="0">
      <selection activeCell="B4" sqref="B4"/>
    </sheetView>
  </sheetViews>
  <sheetFormatPr defaultRowHeight="14.4" x14ac:dyDescent="0.3"/>
  <cols>
    <col min="1" max="1" width="17.44140625" bestFit="1" customWidth="1"/>
    <col min="2" max="2" width="14.88671875" bestFit="1" customWidth="1"/>
  </cols>
  <sheetData>
    <row r="3" spans="1:2" x14ac:dyDescent="0.3">
      <c r="A3" s="3" t="s">
        <v>109</v>
      </c>
      <c r="B3" t="s">
        <v>112</v>
      </c>
    </row>
    <row r="4" spans="1:2" x14ac:dyDescent="0.3">
      <c r="A4" s="4" t="s">
        <v>19</v>
      </c>
      <c r="B4" s="7">
        <v>12283</v>
      </c>
    </row>
    <row r="5" spans="1:2" x14ac:dyDescent="0.3">
      <c r="A5" s="4" t="s">
        <v>29</v>
      </c>
      <c r="B5" s="7">
        <v>13593</v>
      </c>
    </row>
    <row r="6" spans="1:2" x14ac:dyDescent="0.3">
      <c r="A6" s="4" t="s">
        <v>24</v>
      </c>
      <c r="B6" s="7">
        <v>34684</v>
      </c>
    </row>
    <row r="7" spans="1:2" x14ac:dyDescent="0.3">
      <c r="A7" s="4" t="s">
        <v>9</v>
      </c>
      <c r="B7" s="7">
        <v>41606</v>
      </c>
    </row>
    <row r="8" spans="1:2" x14ac:dyDescent="0.3">
      <c r="A8" s="4" t="s">
        <v>15</v>
      </c>
      <c r="B8" s="7">
        <v>42698</v>
      </c>
    </row>
    <row r="9" spans="1:2" x14ac:dyDescent="0.3">
      <c r="A9" s="4" t="s">
        <v>110</v>
      </c>
      <c r="B9" s="7">
        <v>144864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6B156-3922-4AC2-9956-E9502F57166B}">
  <dimension ref="A3:B9"/>
  <sheetViews>
    <sheetView workbookViewId="0">
      <selection activeCell="M11" sqref="M11"/>
    </sheetView>
  </sheetViews>
  <sheetFormatPr defaultRowHeight="14.4" x14ac:dyDescent="0.3"/>
  <cols>
    <col min="1" max="1" width="12.5546875" bestFit="1" customWidth="1"/>
    <col min="2" max="2" width="14.88671875" bestFit="1" customWidth="1"/>
  </cols>
  <sheetData>
    <row r="3" spans="1:2" x14ac:dyDescent="0.3">
      <c r="A3" s="3" t="s">
        <v>109</v>
      </c>
      <c r="B3" t="s">
        <v>111</v>
      </c>
    </row>
    <row r="4" spans="1:2" x14ac:dyDescent="0.3">
      <c r="A4" s="4" t="s">
        <v>113</v>
      </c>
      <c r="B4" s="7">
        <v>224617.60999999993</v>
      </c>
    </row>
    <row r="5" spans="1:2" x14ac:dyDescent="0.3">
      <c r="A5" s="4" t="s">
        <v>114</v>
      </c>
      <c r="B5" s="7">
        <v>166188.30999999997</v>
      </c>
    </row>
    <row r="6" spans="1:2" x14ac:dyDescent="0.3">
      <c r="A6" s="4" t="s">
        <v>115</v>
      </c>
      <c r="B6" s="7">
        <v>185199.30999999997</v>
      </c>
    </row>
    <row r="7" spans="1:2" x14ac:dyDescent="0.3">
      <c r="A7" s="4" t="s">
        <v>116</v>
      </c>
      <c r="B7" s="7">
        <v>203590.47999999992</v>
      </c>
    </row>
    <row r="8" spans="1:2" x14ac:dyDescent="0.3">
      <c r="A8" s="4" t="s">
        <v>117</v>
      </c>
      <c r="B8" s="7">
        <v>188102.36000000004</v>
      </c>
    </row>
    <row r="9" spans="1:2" x14ac:dyDescent="0.3">
      <c r="A9" s="4" t="s">
        <v>110</v>
      </c>
      <c r="B9" s="7">
        <v>967698.06999999983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729E-8025-4668-B9A7-2A7AF4152564}">
  <dimension ref="A3:B7"/>
  <sheetViews>
    <sheetView workbookViewId="0">
      <selection activeCell="N11" sqref="N11"/>
    </sheetView>
  </sheetViews>
  <sheetFormatPr defaultRowHeight="14.4" x14ac:dyDescent="0.3"/>
  <cols>
    <col min="1" max="1" width="12.5546875" bestFit="1" customWidth="1"/>
    <col min="2" max="2" width="14.88671875" bestFit="1" customWidth="1"/>
  </cols>
  <sheetData>
    <row r="3" spans="1:2" x14ac:dyDescent="0.3">
      <c r="A3" s="3" t="s">
        <v>109</v>
      </c>
      <c r="B3" t="s">
        <v>111</v>
      </c>
    </row>
    <row r="4" spans="1:2" x14ac:dyDescent="0.3">
      <c r="A4" s="4" t="s">
        <v>58</v>
      </c>
      <c r="B4" s="5">
        <v>0.30615139079485815</v>
      </c>
    </row>
    <row r="5" spans="1:2" x14ac:dyDescent="0.3">
      <c r="A5" s="4" t="s">
        <v>26</v>
      </c>
      <c r="B5" s="5">
        <v>0.49523887135581462</v>
      </c>
    </row>
    <row r="6" spans="1:2" x14ac:dyDescent="0.3">
      <c r="A6" s="4" t="s">
        <v>12</v>
      </c>
      <c r="B6" s="5">
        <v>0.19860973784932731</v>
      </c>
    </row>
    <row r="7" spans="1:2" x14ac:dyDescent="0.3">
      <c r="A7" s="4" t="s">
        <v>110</v>
      </c>
      <c r="B7" s="5">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44FF-0507-458F-BAF6-F3B9BF0A2D7B}">
  <dimension ref="A3:H5"/>
  <sheetViews>
    <sheetView workbookViewId="0">
      <selection activeCell="C4" sqref="C4"/>
    </sheetView>
  </sheetViews>
  <sheetFormatPr defaultRowHeight="14.4" x14ac:dyDescent="0.3"/>
  <cols>
    <col min="1" max="3" width="14.88671875" bestFit="1" customWidth="1"/>
    <col min="5" max="5" width="15.88671875" bestFit="1" customWidth="1"/>
    <col min="7" max="7" width="12.5546875" bestFit="1" customWidth="1"/>
    <col min="8" max="8" width="14.88671875" bestFit="1" customWidth="1"/>
  </cols>
  <sheetData>
    <row r="3" spans="1:8" x14ac:dyDescent="0.3">
      <c r="A3" t="s">
        <v>111</v>
      </c>
      <c r="C3" t="s">
        <v>112</v>
      </c>
      <c r="E3" t="s">
        <v>118</v>
      </c>
      <c r="G3" s="3" t="s">
        <v>109</v>
      </c>
      <c r="H3" t="s">
        <v>111</v>
      </c>
    </row>
    <row r="4" spans="1:8" x14ac:dyDescent="0.3">
      <c r="A4" s="6">
        <v>967698.06999999948</v>
      </c>
      <c r="C4" s="6">
        <v>144864</v>
      </c>
      <c r="E4" s="7">
        <v>312</v>
      </c>
      <c r="G4" s="4" t="s">
        <v>113</v>
      </c>
      <c r="H4" s="7">
        <v>224617.60999999993</v>
      </c>
    </row>
    <row r="5" spans="1:8" x14ac:dyDescent="0.3">
      <c r="G5" s="4" t="s">
        <v>110</v>
      </c>
      <c r="H5" s="7">
        <v>224617.60999999993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CD253-3D61-44EF-8540-3E0C98A349B2}">
  <dimension ref="A1"/>
  <sheetViews>
    <sheetView showGridLines="0" tabSelected="1" zoomScale="92" workbookViewId="0">
      <selection activeCell="W11" sqref="W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44C4-9C88-49AA-98E6-8C5008297FE6}">
  <dimension ref="A1:J313"/>
  <sheetViews>
    <sheetView workbookViewId="0">
      <selection activeCell="C8" sqref="A2:J313"/>
    </sheetView>
  </sheetViews>
  <sheetFormatPr defaultRowHeight="14.4" x14ac:dyDescent="0.3"/>
  <cols>
    <col min="1" max="1" width="12" customWidth="1"/>
    <col min="2" max="2" width="18.109375" bestFit="1" customWidth="1"/>
    <col min="3" max="3" width="22" customWidth="1"/>
    <col min="4" max="4" width="14" customWidth="1"/>
    <col min="5" max="5" width="18" customWidth="1"/>
    <col min="6" max="6" width="20" customWidth="1"/>
    <col min="7" max="7" width="16" customWidth="1"/>
    <col min="8" max="8" width="14.77734375" customWidth="1"/>
    <col min="9" max="9" width="10.21875" customWidth="1"/>
    <col min="10" max="10" width="15.88671875" customWidth="1"/>
  </cols>
  <sheetData>
    <row r="1" spans="1:10" x14ac:dyDescent="0.3">
      <c r="A1" s="2" t="s">
        <v>0</v>
      </c>
      <c r="B1" s="2" t="s">
        <v>1</v>
      </c>
      <c r="C1" s="2" t="s">
        <v>2</v>
      </c>
      <c r="D1" s="2" t="s">
        <v>3</v>
      </c>
      <c r="E1" s="2" t="s">
        <v>5</v>
      </c>
      <c r="F1" s="2" t="s">
        <v>6</v>
      </c>
      <c r="G1" s="2" t="s">
        <v>8</v>
      </c>
      <c r="H1" s="2" t="s">
        <v>7</v>
      </c>
      <c r="I1" s="2" t="s">
        <v>4</v>
      </c>
      <c r="J1" s="2" t="s">
        <v>108</v>
      </c>
    </row>
    <row r="2" spans="1:10" x14ac:dyDescent="0.3">
      <c r="A2">
        <v>10452</v>
      </c>
      <c r="B2" s="1">
        <v>46024</v>
      </c>
      <c r="C2" t="s">
        <v>9</v>
      </c>
      <c r="D2">
        <v>3.49</v>
      </c>
      <c r="E2" t="s">
        <v>11</v>
      </c>
      <c r="F2" t="s">
        <v>12</v>
      </c>
      <c r="G2" t="s">
        <v>14</v>
      </c>
      <c r="H2" t="s">
        <v>103</v>
      </c>
      <c r="I2">
        <v>574</v>
      </c>
      <c r="J2">
        <f>Table1[[#This Row],[Price]]*Table1[[#This Row],[Quantity]]</f>
        <v>2003.2600000000002</v>
      </c>
    </row>
    <row r="3" spans="1:10" x14ac:dyDescent="0.3">
      <c r="A3">
        <v>10453</v>
      </c>
      <c r="B3" s="1">
        <v>46024.479099675933</v>
      </c>
      <c r="C3" t="s">
        <v>15</v>
      </c>
      <c r="D3">
        <v>2.95</v>
      </c>
      <c r="E3" t="s">
        <v>11</v>
      </c>
      <c r="F3" t="s">
        <v>12</v>
      </c>
      <c r="G3" t="s">
        <v>18</v>
      </c>
      <c r="H3" t="s">
        <v>104</v>
      </c>
      <c r="I3">
        <v>747</v>
      </c>
      <c r="J3">
        <f>Table1[[#This Row],[Price]]*Table1[[#This Row],[Quantity]]</f>
        <v>2203.65</v>
      </c>
    </row>
    <row r="4" spans="1:10" x14ac:dyDescent="0.3">
      <c r="A4">
        <v>10454</v>
      </c>
      <c r="B4" s="1">
        <v>46024.958199351851</v>
      </c>
      <c r="C4" t="s">
        <v>19</v>
      </c>
      <c r="D4">
        <v>4.99</v>
      </c>
      <c r="E4" t="s">
        <v>21</v>
      </c>
      <c r="F4" t="s">
        <v>12</v>
      </c>
      <c r="G4" t="s">
        <v>23</v>
      </c>
      <c r="H4" t="s">
        <v>105</v>
      </c>
      <c r="I4">
        <v>201</v>
      </c>
      <c r="J4">
        <f>Table1[[#This Row],[Price]]*Table1[[#This Row],[Quantity]]</f>
        <v>1002.99</v>
      </c>
    </row>
    <row r="5" spans="1:10" x14ac:dyDescent="0.3">
      <c r="A5">
        <v>10455</v>
      </c>
      <c r="B5" s="1">
        <v>46025.437299039353</v>
      </c>
      <c r="C5" t="s">
        <v>24</v>
      </c>
      <c r="D5">
        <v>12.99</v>
      </c>
      <c r="E5" t="s">
        <v>21</v>
      </c>
      <c r="F5" t="s">
        <v>26</v>
      </c>
      <c r="G5" t="s">
        <v>28</v>
      </c>
      <c r="H5" t="s">
        <v>106</v>
      </c>
      <c r="I5">
        <v>571</v>
      </c>
      <c r="J5">
        <f>Table1[[#This Row],[Price]]*Table1[[#This Row],[Quantity]]</f>
        <v>7417.29</v>
      </c>
    </row>
    <row r="6" spans="1:10" x14ac:dyDescent="0.3">
      <c r="A6">
        <v>10456</v>
      </c>
      <c r="B6" s="1">
        <v>46025.916398715279</v>
      </c>
      <c r="C6" t="s">
        <v>29</v>
      </c>
      <c r="D6">
        <v>9.9499999999999993</v>
      </c>
      <c r="E6" t="s">
        <v>21</v>
      </c>
      <c r="F6" t="s">
        <v>26</v>
      </c>
      <c r="G6" t="s">
        <v>28</v>
      </c>
      <c r="H6" t="s">
        <v>106</v>
      </c>
      <c r="I6">
        <v>202</v>
      </c>
      <c r="J6">
        <f>Table1[[#This Row],[Price]]*Table1[[#This Row],[Quantity]]</f>
        <v>2009.8999999999999</v>
      </c>
    </row>
    <row r="7" spans="1:10" x14ac:dyDescent="0.3">
      <c r="A7">
        <v>10457</v>
      </c>
      <c r="B7" s="1">
        <v>46026.395498391197</v>
      </c>
      <c r="C7" t="s">
        <v>9</v>
      </c>
      <c r="D7">
        <v>3.49</v>
      </c>
      <c r="E7" t="s">
        <v>21</v>
      </c>
      <c r="F7" t="s">
        <v>26</v>
      </c>
      <c r="G7" t="s">
        <v>33</v>
      </c>
      <c r="H7" t="s">
        <v>107</v>
      </c>
      <c r="I7">
        <v>574</v>
      </c>
      <c r="J7">
        <f>Table1[[#This Row],[Price]]*Table1[[#This Row],[Quantity]]</f>
        <v>2003.2600000000002</v>
      </c>
    </row>
    <row r="8" spans="1:10" x14ac:dyDescent="0.3">
      <c r="A8">
        <v>10457</v>
      </c>
      <c r="B8" s="1">
        <v>46026.87459806713</v>
      </c>
      <c r="C8" t="s">
        <v>9</v>
      </c>
      <c r="D8">
        <v>3.49</v>
      </c>
      <c r="E8" t="s">
        <v>21</v>
      </c>
      <c r="F8" t="s">
        <v>26</v>
      </c>
      <c r="G8" t="s">
        <v>33</v>
      </c>
      <c r="H8" t="s">
        <v>107</v>
      </c>
      <c r="I8">
        <v>574</v>
      </c>
      <c r="J8">
        <f>Table1[[#This Row],[Price]]*Table1[[#This Row],[Quantity]]</f>
        <v>2003.2600000000002</v>
      </c>
    </row>
    <row r="9" spans="1:10" x14ac:dyDescent="0.3">
      <c r="A9">
        <v>10459</v>
      </c>
      <c r="B9" s="1">
        <v>46027.353697754632</v>
      </c>
      <c r="C9" t="s">
        <v>19</v>
      </c>
      <c r="D9">
        <v>4.99</v>
      </c>
      <c r="E9" t="s">
        <v>21</v>
      </c>
      <c r="F9" t="s">
        <v>26</v>
      </c>
      <c r="G9" t="s">
        <v>28</v>
      </c>
      <c r="H9" t="s">
        <v>106</v>
      </c>
      <c r="I9">
        <v>202</v>
      </c>
      <c r="J9">
        <f>Table1[[#This Row],[Price]]*Table1[[#This Row],[Quantity]]</f>
        <v>1007.98</v>
      </c>
    </row>
    <row r="10" spans="1:10" x14ac:dyDescent="0.3">
      <c r="A10">
        <v>10460</v>
      </c>
      <c r="B10" s="1">
        <v>46027.832797430558</v>
      </c>
      <c r="C10" t="s">
        <v>24</v>
      </c>
      <c r="D10">
        <v>12.99</v>
      </c>
      <c r="E10" t="s">
        <v>21</v>
      </c>
      <c r="F10" t="s">
        <v>26</v>
      </c>
      <c r="G10" t="s">
        <v>33</v>
      </c>
      <c r="H10" t="s">
        <v>107</v>
      </c>
      <c r="I10">
        <v>555</v>
      </c>
      <c r="J10">
        <f>Table1[[#This Row],[Price]]*Table1[[#This Row],[Quantity]]</f>
        <v>7209.45</v>
      </c>
    </row>
    <row r="11" spans="1:10" x14ac:dyDescent="0.3">
      <c r="A11">
        <v>10461</v>
      </c>
      <c r="B11" s="1">
        <v>46028.311897106483</v>
      </c>
      <c r="C11" t="s">
        <v>29</v>
      </c>
      <c r="D11">
        <v>9.9499999999999993</v>
      </c>
      <c r="E11" t="s">
        <v>21</v>
      </c>
      <c r="F11" t="s">
        <v>26</v>
      </c>
      <c r="G11" t="s">
        <v>33</v>
      </c>
      <c r="H11" t="s">
        <v>107</v>
      </c>
      <c r="I11">
        <v>202</v>
      </c>
      <c r="J11">
        <f>Table1[[#This Row],[Price]]*Table1[[#This Row],[Quantity]]</f>
        <v>2009.8999999999999</v>
      </c>
    </row>
    <row r="12" spans="1:10" x14ac:dyDescent="0.3">
      <c r="A12">
        <v>10462</v>
      </c>
      <c r="B12" s="1">
        <v>46028.790996782409</v>
      </c>
      <c r="C12" t="s">
        <v>9</v>
      </c>
      <c r="D12">
        <v>3.49</v>
      </c>
      <c r="E12" t="s">
        <v>21</v>
      </c>
      <c r="F12" t="s">
        <v>26</v>
      </c>
      <c r="G12" t="s">
        <v>33</v>
      </c>
      <c r="H12" t="s">
        <v>107</v>
      </c>
      <c r="I12">
        <v>574</v>
      </c>
      <c r="J12">
        <f>Table1[[#This Row],[Price]]*Table1[[#This Row],[Quantity]]</f>
        <v>2003.2600000000002</v>
      </c>
    </row>
    <row r="13" spans="1:10" x14ac:dyDescent="0.3">
      <c r="A13">
        <v>10463</v>
      </c>
      <c r="B13" s="1">
        <v>46029.270096458327</v>
      </c>
      <c r="C13" t="s">
        <v>15</v>
      </c>
      <c r="D13">
        <v>2.95</v>
      </c>
      <c r="E13" t="s">
        <v>21</v>
      </c>
      <c r="F13" t="s">
        <v>26</v>
      </c>
      <c r="G13" t="s">
        <v>33</v>
      </c>
      <c r="H13" t="s">
        <v>107</v>
      </c>
      <c r="I13">
        <v>679</v>
      </c>
      <c r="J13">
        <f>Table1[[#This Row],[Price]]*Table1[[#This Row],[Quantity]]</f>
        <v>2003.0500000000002</v>
      </c>
    </row>
    <row r="14" spans="1:10" x14ac:dyDescent="0.3">
      <c r="A14">
        <v>10464</v>
      </c>
      <c r="B14" s="1">
        <v>46029.749196145844</v>
      </c>
      <c r="C14" t="s">
        <v>19</v>
      </c>
      <c r="D14">
        <v>4.99</v>
      </c>
      <c r="E14" t="s">
        <v>21</v>
      </c>
      <c r="F14" t="s">
        <v>26</v>
      </c>
      <c r="G14" t="s">
        <v>33</v>
      </c>
      <c r="H14" t="s">
        <v>107</v>
      </c>
      <c r="I14">
        <v>201</v>
      </c>
      <c r="J14">
        <f>Table1[[#This Row],[Price]]*Table1[[#This Row],[Quantity]]</f>
        <v>1002.99</v>
      </c>
    </row>
    <row r="15" spans="1:10" x14ac:dyDescent="0.3">
      <c r="A15">
        <v>10465</v>
      </c>
      <c r="B15" s="1">
        <v>46030.228295821762</v>
      </c>
      <c r="C15" t="s">
        <v>24</v>
      </c>
      <c r="D15">
        <v>12.99</v>
      </c>
      <c r="E15" t="s">
        <v>21</v>
      </c>
      <c r="F15" t="s">
        <v>26</v>
      </c>
      <c r="G15" t="s">
        <v>18</v>
      </c>
      <c r="H15" t="s">
        <v>104</v>
      </c>
      <c r="I15">
        <v>555</v>
      </c>
      <c r="J15">
        <f>Table1[[#This Row],[Price]]*Table1[[#This Row],[Quantity]]</f>
        <v>7209.45</v>
      </c>
    </row>
    <row r="16" spans="1:10" x14ac:dyDescent="0.3">
      <c r="A16">
        <v>10466</v>
      </c>
      <c r="B16" s="1">
        <v>46030.707395497688</v>
      </c>
      <c r="C16" t="s">
        <v>29</v>
      </c>
      <c r="D16">
        <v>9.9499999999999993</v>
      </c>
      <c r="E16" t="s">
        <v>21</v>
      </c>
      <c r="F16" t="s">
        <v>26</v>
      </c>
      <c r="G16" t="s">
        <v>18</v>
      </c>
      <c r="H16" t="s">
        <v>104</v>
      </c>
      <c r="I16">
        <v>202</v>
      </c>
      <c r="J16">
        <f>Table1[[#This Row],[Price]]*Table1[[#This Row],[Quantity]]</f>
        <v>2009.8999999999999</v>
      </c>
    </row>
    <row r="17" spans="1:10" x14ac:dyDescent="0.3">
      <c r="A17">
        <v>10467</v>
      </c>
      <c r="B17" s="1">
        <v>46031.186495173613</v>
      </c>
      <c r="C17" t="s">
        <v>9</v>
      </c>
      <c r="D17">
        <v>3.49</v>
      </c>
      <c r="E17" t="s">
        <v>21</v>
      </c>
      <c r="F17" t="s">
        <v>26</v>
      </c>
      <c r="G17" t="s">
        <v>18</v>
      </c>
      <c r="H17" t="s">
        <v>104</v>
      </c>
      <c r="I17">
        <v>574</v>
      </c>
      <c r="J17">
        <f>Table1[[#This Row],[Price]]*Table1[[#This Row],[Quantity]]</f>
        <v>2003.2600000000002</v>
      </c>
    </row>
    <row r="18" spans="1:10" x14ac:dyDescent="0.3">
      <c r="A18">
        <v>10468</v>
      </c>
      <c r="B18" s="1">
        <v>46031.665594849539</v>
      </c>
      <c r="C18" t="s">
        <v>15</v>
      </c>
      <c r="D18">
        <v>2.95</v>
      </c>
      <c r="E18" t="s">
        <v>21</v>
      </c>
      <c r="F18" t="s">
        <v>26</v>
      </c>
      <c r="G18" t="s">
        <v>18</v>
      </c>
      <c r="H18" t="s">
        <v>104</v>
      </c>
      <c r="I18">
        <v>679</v>
      </c>
      <c r="J18">
        <f>Table1[[#This Row],[Price]]*Table1[[#This Row],[Quantity]]</f>
        <v>2003.0500000000002</v>
      </c>
    </row>
    <row r="19" spans="1:10" x14ac:dyDescent="0.3">
      <c r="A19">
        <v>10468</v>
      </c>
      <c r="B19" s="1">
        <v>46032.144694537034</v>
      </c>
      <c r="C19" t="s">
        <v>15</v>
      </c>
      <c r="D19">
        <v>2.95</v>
      </c>
      <c r="E19" t="s">
        <v>21</v>
      </c>
      <c r="F19" t="s">
        <v>26</v>
      </c>
      <c r="G19" t="s">
        <v>18</v>
      </c>
      <c r="H19" t="s">
        <v>104</v>
      </c>
      <c r="I19">
        <v>679</v>
      </c>
      <c r="J19">
        <f>Table1[[#This Row],[Price]]*Table1[[#This Row],[Quantity]]</f>
        <v>2003.0500000000002</v>
      </c>
    </row>
    <row r="20" spans="1:10" x14ac:dyDescent="0.3">
      <c r="A20">
        <v>10470</v>
      </c>
      <c r="B20" s="1">
        <v>46032.623794212966</v>
      </c>
      <c r="C20" t="s">
        <v>24</v>
      </c>
      <c r="D20">
        <v>12.99</v>
      </c>
      <c r="E20" t="s">
        <v>21</v>
      </c>
      <c r="F20" t="s">
        <v>26</v>
      </c>
      <c r="G20" t="s">
        <v>18</v>
      </c>
      <c r="H20" t="s">
        <v>104</v>
      </c>
      <c r="I20">
        <v>555</v>
      </c>
      <c r="J20">
        <f>Table1[[#This Row],[Price]]*Table1[[#This Row],[Quantity]]</f>
        <v>7209.45</v>
      </c>
    </row>
    <row r="21" spans="1:10" x14ac:dyDescent="0.3">
      <c r="A21">
        <v>10471</v>
      </c>
      <c r="B21" s="1">
        <v>46033.102893888892</v>
      </c>
      <c r="C21" t="s">
        <v>29</v>
      </c>
      <c r="D21">
        <v>9.9499999999999993</v>
      </c>
      <c r="E21" t="s">
        <v>21</v>
      </c>
      <c r="F21" t="s">
        <v>26</v>
      </c>
      <c r="G21" t="s">
        <v>18</v>
      </c>
      <c r="H21" t="s">
        <v>104</v>
      </c>
      <c r="I21">
        <v>202</v>
      </c>
      <c r="J21">
        <f>Table1[[#This Row],[Price]]*Table1[[#This Row],[Quantity]]</f>
        <v>2009.8999999999999</v>
      </c>
    </row>
    <row r="22" spans="1:10" x14ac:dyDescent="0.3">
      <c r="A22">
        <v>10472</v>
      </c>
      <c r="B22" s="1">
        <v>46033.581993564818</v>
      </c>
      <c r="C22" t="s">
        <v>9</v>
      </c>
      <c r="D22">
        <v>3.49</v>
      </c>
      <c r="E22" t="s">
        <v>21</v>
      </c>
      <c r="F22" t="s">
        <v>26</v>
      </c>
      <c r="G22" t="s">
        <v>18</v>
      </c>
      <c r="H22" t="s">
        <v>104</v>
      </c>
      <c r="I22">
        <v>631</v>
      </c>
      <c r="J22">
        <f>Table1[[#This Row],[Price]]*Table1[[#This Row],[Quantity]]</f>
        <v>2202.19</v>
      </c>
    </row>
    <row r="23" spans="1:10" x14ac:dyDescent="0.3">
      <c r="A23">
        <v>10473</v>
      </c>
      <c r="B23" s="1">
        <v>46034.061093252312</v>
      </c>
      <c r="C23" t="s">
        <v>15</v>
      </c>
      <c r="D23">
        <v>2.95</v>
      </c>
      <c r="E23" t="s">
        <v>21</v>
      </c>
      <c r="F23" t="s">
        <v>26</v>
      </c>
      <c r="G23" t="s">
        <v>18</v>
      </c>
      <c r="H23" t="s">
        <v>104</v>
      </c>
      <c r="I23">
        <v>679</v>
      </c>
      <c r="J23">
        <f>Table1[[#This Row],[Price]]*Table1[[#This Row],[Quantity]]</f>
        <v>2003.0500000000002</v>
      </c>
    </row>
    <row r="24" spans="1:10" x14ac:dyDescent="0.3">
      <c r="A24">
        <v>10474</v>
      </c>
      <c r="B24" s="1">
        <v>46034.540192928238</v>
      </c>
      <c r="C24" t="s">
        <v>19</v>
      </c>
      <c r="D24">
        <v>4.99</v>
      </c>
      <c r="E24" t="s">
        <v>21</v>
      </c>
      <c r="F24" t="s">
        <v>26</v>
      </c>
      <c r="G24" t="s">
        <v>18</v>
      </c>
      <c r="H24" t="s">
        <v>104</v>
      </c>
      <c r="I24">
        <v>201</v>
      </c>
      <c r="J24">
        <f>Table1[[#This Row],[Price]]*Table1[[#This Row],[Quantity]]</f>
        <v>1002.99</v>
      </c>
    </row>
    <row r="25" spans="1:10" x14ac:dyDescent="0.3">
      <c r="A25">
        <v>10475</v>
      </c>
      <c r="B25" s="1">
        <v>46035.019292604156</v>
      </c>
      <c r="C25" t="s">
        <v>24</v>
      </c>
      <c r="D25">
        <v>12.99</v>
      </c>
      <c r="E25" t="s">
        <v>21</v>
      </c>
      <c r="F25" t="s">
        <v>26</v>
      </c>
      <c r="G25" t="s">
        <v>18</v>
      </c>
      <c r="H25" t="s">
        <v>104</v>
      </c>
      <c r="I25">
        <v>524</v>
      </c>
      <c r="J25">
        <f>Table1[[#This Row],[Price]]*Table1[[#This Row],[Quantity]]</f>
        <v>6806.76</v>
      </c>
    </row>
    <row r="26" spans="1:10" x14ac:dyDescent="0.3">
      <c r="A26">
        <v>10476</v>
      </c>
      <c r="B26" s="1">
        <v>46035.498392280089</v>
      </c>
      <c r="C26" t="s">
        <v>29</v>
      </c>
      <c r="D26">
        <v>9.9499999999999993</v>
      </c>
      <c r="E26" t="s">
        <v>21</v>
      </c>
      <c r="F26" t="s">
        <v>26</v>
      </c>
      <c r="G26" t="s">
        <v>18</v>
      </c>
      <c r="H26" t="s">
        <v>104</v>
      </c>
      <c r="I26">
        <v>202</v>
      </c>
      <c r="J26">
        <f>Table1[[#This Row],[Price]]*Table1[[#This Row],[Quantity]]</f>
        <v>2009.8999999999999</v>
      </c>
    </row>
    <row r="27" spans="1:10" x14ac:dyDescent="0.3">
      <c r="A27">
        <v>10477</v>
      </c>
      <c r="B27" s="1">
        <v>46035.977491956022</v>
      </c>
      <c r="C27" t="s">
        <v>9</v>
      </c>
      <c r="D27">
        <v>3.49</v>
      </c>
      <c r="E27" t="s">
        <v>21</v>
      </c>
      <c r="F27" t="s">
        <v>26</v>
      </c>
      <c r="G27" t="s">
        <v>18</v>
      </c>
      <c r="H27" t="s">
        <v>104</v>
      </c>
      <c r="I27">
        <v>631</v>
      </c>
      <c r="J27">
        <f>Table1[[#This Row],[Price]]*Table1[[#This Row],[Quantity]]</f>
        <v>2202.19</v>
      </c>
    </row>
    <row r="28" spans="1:10" x14ac:dyDescent="0.3">
      <c r="A28">
        <v>10478</v>
      </c>
      <c r="B28" s="1">
        <v>46036.456591643517</v>
      </c>
      <c r="C28" t="s">
        <v>15</v>
      </c>
      <c r="D28">
        <v>2.95</v>
      </c>
      <c r="E28" t="s">
        <v>21</v>
      </c>
      <c r="F28" t="s">
        <v>26</v>
      </c>
      <c r="G28" t="s">
        <v>18</v>
      </c>
      <c r="H28" t="s">
        <v>104</v>
      </c>
      <c r="I28">
        <v>679</v>
      </c>
      <c r="J28">
        <f>Table1[[#This Row],[Price]]*Table1[[#This Row],[Quantity]]</f>
        <v>2003.0500000000002</v>
      </c>
    </row>
    <row r="29" spans="1:10" x14ac:dyDescent="0.3">
      <c r="A29">
        <v>10479</v>
      </c>
      <c r="B29" s="1">
        <v>46036.935691319442</v>
      </c>
      <c r="C29" t="s">
        <v>19</v>
      </c>
      <c r="D29">
        <v>4.99</v>
      </c>
      <c r="E29" t="s">
        <v>21</v>
      </c>
      <c r="F29" t="s">
        <v>26</v>
      </c>
      <c r="G29" t="s">
        <v>18</v>
      </c>
      <c r="H29" t="s">
        <v>104</v>
      </c>
      <c r="I29">
        <v>201</v>
      </c>
      <c r="J29">
        <f>Table1[[#This Row],[Price]]*Table1[[#This Row],[Quantity]]</f>
        <v>1002.99</v>
      </c>
    </row>
    <row r="30" spans="1:10" x14ac:dyDescent="0.3">
      <c r="A30">
        <v>10480</v>
      </c>
      <c r="B30" s="1">
        <v>46037.414790995368</v>
      </c>
      <c r="C30" t="s">
        <v>24</v>
      </c>
      <c r="D30">
        <v>12.99</v>
      </c>
      <c r="E30" t="s">
        <v>21</v>
      </c>
      <c r="F30" t="s">
        <v>26</v>
      </c>
      <c r="G30" t="s">
        <v>18</v>
      </c>
      <c r="H30" t="s">
        <v>104</v>
      </c>
      <c r="I30">
        <v>509</v>
      </c>
      <c r="J30">
        <f>Table1[[#This Row],[Price]]*Table1[[#This Row],[Quantity]]</f>
        <v>6611.91</v>
      </c>
    </row>
    <row r="31" spans="1:10" x14ac:dyDescent="0.3">
      <c r="A31">
        <v>10481</v>
      </c>
      <c r="B31" s="1">
        <v>46037.893890671286</v>
      </c>
      <c r="C31" t="s">
        <v>29</v>
      </c>
      <c r="D31">
        <v>9.9499999999999993</v>
      </c>
      <c r="E31" t="s">
        <v>21</v>
      </c>
      <c r="F31" t="s">
        <v>26</v>
      </c>
      <c r="G31" t="s">
        <v>18</v>
      </c>
      <c r="H31" t="s">
        <v>104</v>
      </c>
      <c r="I31">
        <v>202</v>
      </c>
      <c r="J31">
        <f>Table1[[#This Row],[Price]]*Table1[[#This Row],[Quantity]]</f>
        <v>2009.8999999999999</v>
      </c>
    </row>
    <row r="32" spans="1:10" x14ac:dyDescent="0.3">
      <c r="A32">
        <v>10482</v>
      </c>
      <c r="B32" s="1">
        <v>46038.372990358803</v>
      </c>
      <c r="C32" t="s">
        <v>9</v>
      </c>
      <c r="D32">
        <v>25.5</v>
      </c>
      <c r="E32" t="s">
        <v>21</v>
      </c>
      <c r="F32" t="s">
        <v>26</v>
      </c>
      <c r="G32" t="s">
        <v>23</v>
      </c>
      <c r="H32" t="s">
        <v>105</v>
      </c>
      <c r="I32">
        <v>631</v>
      </c>
      <c r="J32">
        <f>Table1[[#This Row],[Price]]*Table1[[#This Row],[Quantity]]</f>
        <v>16090.5</v>
      </c>
    </row>
    <row r="33" spans="1:10" x14ac:dyDescent="0.3">
      <c r="A33">
        <v>10483</v>
      </c>
      <c r="B33" s="1">
        <v>46038.852090034721</v>
      </c>
      <c r="C33" t="s">
        <v>15</v>
      </c>
      <c r="D33">
        <v>33.22</v>
      </c>
      <c r="E33" t="s">
        <v>21</v>
      </c>
      <c r="F33" t="s">
        <v>26</v>
      </c>
      <c r="G33" t="s">
        <v>23</v>
      </c>
      <c r="H33" t="s">
        <v>105</v>
      </c>
      <c r="I33">
        <v>678</v>
      </c>
      <c r="J33">
        <f>Table1[[#This Row],[Price]]*Table1[[#This Row],[Quantity]]</f>
        <v>22523.16</v>
      </c>
    </row>
    <row r="34" spans="1:10" x14ac:dyDescent="0.3">
      <c r="A34">
        <v>10484</v>
      </c>
      <c r="B34" s="1">
        <v>46039.331189710647</v>
      </c>
      <c r="C34" t="s">
        <v>19</v>
      </c>
      <c r="D34">
        <v>21.44</v>
      </c>
      <c r="E34" t="s">
        <v>21</v>
      </c>
      <c r="F34" t="s">
        <v>26</v>
      </c>
      <c r="G34" t="s">
        <v>23</v>
      </c>
      <c r="H34" t="s">
        <v>105</v>
      </c>
      <c r="I34">
        <v>201</v>
      </c>
      <c r="J34">
        <f>Table1[[#This Row],[Price]]*Table1[[#This Row],[Quantity]]</f>
        <v>4309.4400000000005</v>
      </c>
    </row>
    <row r="35" spans="1:10" x14ac:dyDescent="0.3">
      <c r="A35">
        <v>10485</v>
      </c>
      <c r="B35" s="1">
        <v>46039.810289386573</v>
      </c>
      <c r="C35" t="s">
        <v>24</v>
      </c>
      <c r="D35">
        <v>27.99</v>
      </c>
      <c r="E35" t="s">
        <v>21</v>
      </c>
      <c r="F35" t="s">
        <v>26</v>
      </c>
      <c r="G35" t="s">
        <v>23</v>
      </c>
      <c r="H35" t="s">
        <v>105</v>
      </c>
      <c r="I35">
        <v>524</v>
      </c>
      <c r="J35">
        <f>Table1[[#This Row],[Price]]*Table1[[#This Row],[Quantity]]</f>
        <v>14666.759999999998</v>
      </c>
    </row>
    <row r="36" spans="1:10" x14ac:dyDescent="0.3">
      <c r="A36">
        <v>10486</v>
      </c>
      <c r="B36" s="1">
        <v>46040.289389062498</v>
      </c>
      <c r="C36" t="s">
        <v>29</v>
      </c>
      <c r="D36">
        <v>29.05</v>
      </c>
      <c r="E36" t="s">
        <v>21</v>
      </c>
      <c r="F36" t="s">
        <v>26</v>
      </c>
      <c r="G36" t="s">
        <v>23</v>
      </c>
      <c r="H36" t="s">
        <v>105</v>
      </c>
      <c r="I36">
        <v>202</v>
      </c>
      <c r="J36">
        <f>Table1[[#This Row],[Price]]*Table1[[#This Row],[Quantity]]</f>
        <v>5868.1</v>
      </c>
    </row>
    <row r="37" spans="1:10" x14ac:dyDescent="0.3">
      <c r="A37">
        <v>10487</v>
      </c>
      <c r="B37" s="1">
        <v>46040.76848875</v>
      </c>
      <c r="C37" t="s">
        <v>9</v>
      </c>
      <c r="D37">
        <v>3.49</v>
      </c>
      <c r="E37" t="s">
        <v>21</v>
      </c>
      <c r="F37" t="s">
        <v>26</v>
      </c>
      <c r="G37" t="s">
        <v>23</v>
      </c>
      <c r="H37" t="s">
        <v>105</v>
      </c>
      <c r="I37">
        <v>632</v>
      </c>
      <c r="J37">
        <f>Table1[[#This Row],[Price]]*Table1[[#This Row],[Quantity]]</f>
        <v>2205.6800000000003</v>
      </c>
    </row>
    <row r="38" spans="1:10" x14ac:dyDescent="0.3">
      <c r="A38">
        <v>10488</v>
      </c>
      <c r="B38" s="1">
        <v>46041.247588425933</v>
      </c>
      <c r="C38" t="s">
        <v>15</v>
      </c>
      <c r="D38">
        <v>2.95</v>
      </c>
      <c r="E38" t="s">
        <v>21</v>
      </c>
      <c r="F38" t="s">
        <v>26</v>
      </c>
      <c r="G38" t="s">
        <v>23</v>
      </c>
      <c r="H38" t="s">
        <v>105</v>
      </c>
      <c r="I38">
        <v>679</v>
      </c>
      <c r="J38">
        <f>Table1[[#This Row],[Price]]*Table1[[#This Row],[Quantity]]</f>
        <v>2003.0500000000002</v>
      </c>
    </row>
    <row r="39" spans="1:10" x14ac:dyDescent="0.3">
      <c r="A39">
        <v>10489</v>
      </c>
      <c r="B39" s="1">
        <v>46041.726688101851</v>
      </c>
      <c r="C39" t="s">
        <v>19</v>
      </c>
      <c r="D39">
        <v>4.99</v>
      </c>
      <c r="E39" t="s">
        <v>21</v>
      </c>
      <c r="F39" t="s">
        <v>26</v>
      </c>
      <c r="G39" t="s">
        <v>18</v>
      </c>
      <c r="H39" t="s">
        <v>104</v>
      </c>
      <c r="I39">
        <v>201</v>
      </c>
      <c r="J39">
        <f>Table1[[#This Row],[Price]]*Table1[[#This Row],[Quantity]]</f>
        <v>1002.99</v>
      </c>
    </row>
    <row r="40" spans="1:10" x14ac:dyDescent="0.3">
      <c r="A40">
        <v>10490</v>
      </c>
      <c r="B40" s="1">
        <v>46042.205787777777</v>
      </c>
      <c r="C40" t="s">
        <v>24</v>
      </c>
      <c r="D40">
        <v>12.99</v>
      </c>
      <c r="E40" t="s">
        <v>21</v>
      </c>
      <c r="F40" t="s">
        <v>26</v>
      </c>
      <c r="G40" t="s">
        <v>18</v>
      </c>
      <c r="H40" t="s">
        <v>104</v>
      </c>
      <c r="I40">
        <v>509</v>
      </c>
      <c r="J40">
        <f>Table1[[#This Row],[Price]]*Table1[[#This Row],[Quantity]]</f>
        <v>6611.91</v>
      </c>
    </row>
    <row r="41" spans="1:10" x14ac:dyDescent="0.3">
      <c r="A41">
        <v>10491</v>
      </c>
      <c r="B41" s="1">
        <v>46042.684887465279</v>
      </c>
      <c r="C41" t="s">
        <v>29</v>
      </c>
      <c r="D41">
        <v>9.9499999999999993</v>
      </c>
      <c r="E41" t="s">
        <v>21</v>
      </c>
      <c r="F41" t="s">
        <v>26</v>
      </c>
      <c r="G41" t="s">
        <v>18</v>
      </c>
      <c r="H41" t="s">
        <v>104</v>
      </c>
      <c r="I41">
        <v>202</v>
      </c>
      <c r="J41">
        <f>Table1[[#This Row],[Price]]*Table1[[#This Row],[Quantity]]</f>
        <v>2009.8999999999999</v>
      </c>
    </row>
    <row r="42" spans="1:10" x14ac:dyDescent="0.3">
      <c r="A42">
        <v>10492</v>
      </c>
      <c r="B42" s="1">
        <v>46043.163987141197</v>
      </c>
      <c r="C42" t="s">
        <v>9</v>
      </c>
      <c r="D42">
        <v>3.49</v>
      </c>
      <c r="E42" t="s">
        <v>21</v>
      </c>
      <c r="F42" t="s">
        <v>26</v>
      </c>
      <c r="G42" t="s">
        <v>18</v>
      </c>
      <c r="H42" t="s">
        <v>104</v>
      </c>
      <c r="I42">
        <v>574</v>
      </c>
      <c r="J42">
        <f>Table1[[#This Row],[Price]]*Table1[[#This Row],[Quantity]]</f>
        <v>2003.2600000000002</v>
      </c>
    </row>
    <row r="43" spans="1:10" x14ac:dyDescent="0.3">
      <c r="A43">
        <v>10493</v>
      </c>
      <c r="B43" s="1">
        <v>46043.64308681713</v>
      </c>
      <c r="C43" t="s">
        <v>15</v>
      </c>
      <c r="D43">
        <v>2.95</v>
      </c>
      <c r="E43" t="s">
        <v>21</v>
      </c>
      <c r="F43" t="s">
        <v>26</v>
      </c>
      <c r="G43" t="s">
        <v>18</v>
      </c>
      <c r="H43" t="s">
        <v>104</v>
      </c>
      <c r="I43">
        <v>679</v>
      </c>
      <c r="J43">
        <f>Table1[[#This Row],[Price]]*Table1[[#This Row],[Quantity]]</f>
        <v>2003.0500000000002</v>
      </c>
    </row>
    <row r="44" spans="1:10" x14ac:dyDescent="0.3">
      <c r="A44">
        <v>10494</v>
      </c>
      <c r="B44" s="1">
        <v>46044.122186493063</v>
      </c>
      <c r="C44" t="s">
        <v>19</v>
      </c>
      <c r="D44">
        <v>4.99</v>
      </c>
      <c r="E44" t="s">
        <v>21</v>
      </c>
      <c r="F44" t="s">
        <v>26</v>
      </c>
      <c r="G44" t="s">
        <v>18</v>
      </c>
      <c r="H44" t="s">
        <v>104</v>
      </c>
      <c r="I44">
        <v>202</v>
      </c>
      <c r="J44">
        <f>Table1[[#This Row],[Price]]*Table1[[#This Row],[Quantity]]</f>
        <v>1007.98</v>
      </c>
    </row>
    <row r="45" spans="1:10" x14ac:dyDescent="0.3">
      <c r="A45">
        <v>10495</v>
      </c>
      <c r="B45" s="1">
        <v>46044.601286168981</v>
      </c>
      <c r="C45" t="s">
        <v>24</v>
      </c>
      <c r="D45">
        <v>12.99</v>
      </c>
      <c r="E45" t="s">
        <v>21</v>
      </c>
      <c r="F45" t="s">
        <v>26</v>
      </c>
      <c r="G45" t="s">
        <v>18</v>
      </c>
      <c r="H45" t="s">
        <v>104</v>
      </c>
      <c r="I45">
        <v>509</v>
      </c>
      <c r="J45">
        <f>Table1[[#This Row],[Price]]*Table1[[#This Row],[Quantity]]</f>
        <v>6611.91</v>
      </c>
    </row>
    <row r="46" spans="1:10" x14ac:dyDescent="0.3">
      <c r="A46">
        <v>10496</v>
      </c>
      <c r="B46" s="1">
        <v>46045.080385856483</v>
      </c>
      <c r="C46" t="s">
        <v>29</v>
      </c>
      <c r="D46">
        <v>9.9499999999999993</v>
      </c>
      <c r="E46" t="s">
        <v>21</v>
      </c>
      <c r="F46" t="s">
        <v>26</v>
      </c>
      <c r="G46" t="s">
        <v>18</v>
      </c>
      <c r="H46" t="s">
        <v>104</v>
      </c>
      <c r="I46">
        <v>202</v>
      </c>
      <c r="J46">
        <f>Table1[[#This Row],[Price]]*Table1[[#This Row],[Quantity]]</f>
        <v>2009.8999999999999</v>
      </c>
    </row>
    <row r="47" spans="1:10" x14ac:dyDescent="0.3">
      <c r="A47">
        <v>10497</v>
      </c>
      <c r="B47" s="1">
        <v>46045.559485532409</v>
      </c>
      <c r="C47" t="s">
        <v>9</v>
      </c>
      <c r="D47">
        <v>3.49</v>
      </c>
      <c r="E47" t="s">
        <v>21</v>
      </c>
      <c r="F47" t="s">
        <v>26</v>
      </c>
      <c r="G47" t="s">
        <v>18</v>
      </c>
      <c r="H47" t="s">
        <v>104</v>
      </c>
      <c r="I47">
        <v>574</v>
      </c>
      <c r="J47">
        <f>Table1[[#This Row],[Price]]*Table1[[#This Row],[Quantity]]</f>
        <v>2003.2600000000002</v>
      </c>
    </row>
    <row r="48" spans="1:10" x14ac:dyDescent="0.3">
      <c r="A48">
        <v>10498</v>
      </c>
      <c r="B48" s="1">
        <v>46046.038585208327</v>
      </c>
      <c r="C48" t="s">
        <v>15</v>
      </c>
      <c r="D48">
        <v>2.95</v>
      </c>
      <c r="E48" t="s">
        <v>57</v>
      </c>
      <c r="F48" t="s">
        <v>26</v>
      </c>
      <c r="G48" t="s">
        <v>18</v>
      </c>
      <c r="H48" t="s">
        <v>104</v>
      </c>
      <c r="I48">
        <v>679</v>
      </c>
      <c r="J48">
        <f>Table1[[#This Row],[Price]]*Table1[[#This Row],[Quantity]]</f>
        <v>2003.0500000000002</v>
      </c>
    </row>
    <row r="49" spans="1:10" x14ac:dyDescent="0.3">
      <c r="A49">
        <v>10499</v>
      </c>
      <c r="B49" s="1">
        <v>46046.51768488426</v>
      </c>
      <c r="C49" t="s">
        <v>19</v>
      </c>
      <c r="D49">
        <v>4.99</v>
      </c>
      <c r="E49" t="s">
        <v>57</v>
      </c>
      <c r="F49" t="s">
        <v>26</v>
      </c>
      <c r="G49" t="s">
        <v>18</v>
      </c>
      <c r="H49" t="s">
        <v>104</v>
      </c>
      <c r="I49">
        <v>201</v>
      </c>
      <c r="J49">
        <f>Table1[[#This Row],[Price]]*Table1[[#This Row],[Quantity]]</f>
        <v>1002.99</v>
      </c>
    </row>
    <row r="50" spans="1:10" x14ac:dyDescent="0.3">
      <c r="A50">
        <v>10500</v>
      </c>
      <c r="B50" s="1">
        <v>46046.996784560193</v>
      </c>
      <c r="C50" t="s">
        <v>24</v>
      </c>
      <c r="D50">
        <v>12.99</v>
      </c>
      <c r="E50" t="s">
        <v>57</v>
      </c>
      <c r="F50" t="s">
        <v>26</v>
      </c>
      <c r="G50" t="s">
        <v>18</v>
      </c>
      <c r="H50" t="s">
        <v>104</v>
      </c>
      <c r="I50">
        <v>524</v>
      </c>
      <c r="J50">
        <f>Table1[[#This Row],[Price]]*Table1[[#This Row],[Quantity]]</f>
        <v>6806.76</v>
      </c>
    </row>
    <row r="51" spans="1:10" x14ac:dyDescent="0.3">
      <c r="A51">
        <v>10501</v>
      </c>
      <c r="B51" s="1">
        <v>46047.475884247688</v>
      </c>
      <c r="C51" t="s">
        <v>29</v>
      </c>
      <c r="D51">
        <v>9.9499999999999993</v>
      </c>
      <c r="E51" t="s">
        <v>57</v>
      </c>
      <c r="F51" t="s">
        <v>26</v>
      </c>
      <c r="G51" t="s">
        <v>18</v>
      </c>
      <c r="H51" t="s">
        <v>104</v>
      </c>
      <c r="I51">
        <v>202</v>
      </c>
      <c r="J51">
        <f>Table1[[#This Row],[Price]]*Table1[[#This Row],[Quantity]]</f>
        <v>2009.8999999999999</v>
      </c>
    </row>
    <row r="52" spans="1:10" x14ac:dyDescent="0.3">
      <c r="A52">
        <v>10502</v>
      </c>
      <c r="B52" s="1">
        <v>46047.954983923613</v>
      </c>
      <c r="C52" t="s">
        <v>9</v>
      </c>
      <c r="D52">
        <v>3.49</v>
      </c>
      <c r="E52" t="s">
        <v>57</v>
      </c>
      <c r="F52" t="s">
        <v>26</v>
      </c>
      <c r="G52" t="s">
        <v>18</v>
      </c>
      <c r="H52" t="s">
        <v>104</v>
      </c>
      <c r="I52">
        <v>631</v>
      </c>
      <c r="J52">
        <f>Table1[[#This Row],[Price]]*Table1[[#This Row],[Quantity]]</f>
        <v>2202.19</v>
      </c>
    </row>
    <row r="53" spans="1:10" x14ac:dyDescent="0.3">
      <c r="A53">
        <v>10503</v>
      </c>
      <c r="B53" s="1">
        <v>46048.434083599539</v>
      </c>
      <c r="C53" t="s">
        <v>15</v>
      </c>
      <c r="D53">
        <v>2.95</v>
      </c>
      <c r="E53" t="s">
        <v>57</v>
      </c>
      <c r="F53" t="s">
        <v>26</v>
      </c>
      <c r="G53" t="s">
        <v>18</v>
      </c>
      <c r="H53" t="s">
        <v>104</v>
      </c>
      <c r="I53">
        <v>679</v>
      </c>
      <c r="J53">
        <f>Table1[[#This Row],[Price]]*Table1[[#This Row],[Quantity]]</f>
        <v>2003.0500000000002</v>
      </c>
    </row>
    <row r="54" spans="1:10" x14ac:dyDescent="0.3">
      <c r="A54">
        <v>10504</v>
      </c>
      <c r="B54" s="1">
        <v>46048.913183275457</v>
      </c>
      <c r="C54" t="s">
        <v>19</v>
      </c>
      <c r="D54">
        <v>4.99</v>
      </c>
      <c r="E54" t="s">
        <v>57</v>
      </c>
      <c r="F54" t="s">
        <v>26</v>
      </c>
      <c r="G54" t="s">
        <v>18</v>
      </c>
      <c r="H54" t="s">
        <v>104</v>
      </c>
      <c r="I54">
        <v>202</v>
      </c>
      <c r="J54">
        <f>Table1[[#This Row],[Price]]*Table1[[#This Row],[Quantity]]</f>
        <v>1007.98</v>
      </c>
    </row>
    <row r="55" spans="1:10" x14ac:dyDescent="0.3">
      <c r="A55">
        <v>10505</v>
      </c>
      <c r="B55" s="1">
        <v>46049.392282962966</v>
      </c>
      <c r="C55" t="s">
        <v>24</v>
      </c>
      <c r="D55">
        <v>12.99</v>
      </c>
      <c r="E55" t="s">
        <v>57</v>
      </c>
      <c r="F55" t="s">
        <v>26</v>
      </c>
      <c r="G55" t="s">
        <v>18</v>
      </c>
      <c r="H55" t="s">
        <v>104</v>
      </c>
      <c r="I55">
        <v>540</v>
      </c>
      <c r="J55">
        <f>Table1[[#This Row],[Price]]*Table1[[#This Row],[Quantity]]</f>
        <v>7014.6</v>
      </c>
    </row>
    <row r="56" spans="1:10" x14ac:dyDescent="0.3">
      <c r="A56">
        <v>10506</v>
      </c>
      <c r="B56" s="1">
        <v>46049.871382638892</v>
      </c>
      <c r="C56" t="s">
        <v>29</v>
      </c>
      <c r="D56">
        <v>9.9499999999999993</v>
      </c>
      <c r="E56" t="s">
        <v>57</v>
      </c>
      <c r="F56" t="s">
        <v>26</v>
      </c>
      <c r="G56" t="s">
        <v>18</v>
      </c>
      <c r="H56" t="s">
        <v>104</v>
      </c>
      <c r="I56">
        <v>202</v>
      </c>
      <c r="J56">
        <f>Table1[[#This Row],[Price]]*Table1[[#This Row],[Quantity]]</f>
        <v>2009.8999999999999</v>
      </c>
    </row>
    <row r="57" spans="1:10" x14ac:dyDescent="0.3">
      <c r="A57">
        <v>10507</v>
      </c>
      <c r="B57" s="1">
        <v>46050.350482314818</v>
      </c>
      <c r="C57" t="s">
        <v>9</v>
      </c>
      <c r="D57">
        <v>3.49</v>
      </c>
      <c r="E57" t="s">
        <v>57</v>
      </c>
      <c r="F57" t="s">
        <v>26</v>
      </c>
      <c r="G57" t="s">
        <v>18</v>
      </c>
      <c r="H57" t="s">
        <v>104</v>
      </c>
      <c r="I57">
        <v>689</v>
      </c>
      <c r="J57">
        <f>Table1[[#This Row],[Price]]*Table1[[#This Row],[Quantity]]</f>
        <v>2404.61</v>
      </c>
    </row>
    <row r="58" spans="1:10" x14ac:dyDescent="0.3">
      <c r="A58">
        <v>10508</v>
      </c>
      <c r="B58" s="1">
        <v>46050.829581990743</v>
      </c>
      <c r="C58" t="s">
        <v>15</v>
      </c>
      <c r="D58">
        <v>2.95</v>
      </c>
      <c r="E58" t="s">
        <v>57</v>
      </c>
      <c r="F58" t="s">
        <v>26</v>
      </c>
      <c r="G58" t="s">
        <v>18</v>
      </c>
      <c r="H58" t="s">
        <v>104</v>
      </c>
      <c r="I58">
        <v>679</v>
      </c>
      <c r="J58">
        <f>Table1[[#This Row],[Price]]*Table1[[#This Row],[Quantity]]</f>
        <v>2003.0500000000002</v>
      </c>
    </row>
    <row r="59" spans="1:10" x14ac:dyDescent="0.3">
      <c r="A59">
        <v>10509</v>
      </c>
      <c r="B59" s="1">
        <v>46051.308681666669</v>
      </c>
      <c r="C59" t="s">
        <v>19</v>
      </c>
      <c r="D59">
        <v>4.99</v>
      </c>
      <c r="E59" t="s">
        <v>57</v>
      </c>
      <c r="F59" t="s">
        <v>26</v>
      </c>
      <c r="G59" t="s">
        <v>18</v>
      </c>
      <c r="H59" t="s">
        <v>104</v>
      </c>
      <c r="I59">
        <v>201</v>
      </c>
      <c r="J59">
        <f>Table1[[#This Row],[Price]]*Table1[[#This Row],[Quantity]]</f>
        <v>1002.99</v>
      </c>
    </row>
    <row r="60" spans="1:10" x14ac:dyDescent="0.3">
      <c r="A60">
        <v>10510</v>
      </c>
      <c r="B60" s="1">
        <v>46051.787781354164</v>
      </c>
      <c r="C60" t="s">
        <v>24</v>
      </c>
      <c r="D60">
        <v>12.99</v>
      </c>
      <c r="E60" t="s">
        <v>57</v>
      </c>
      <c r="F60" t="s">
        <v>26</v>
      </c>
      <c r="G60" t="s">
        <v>18</v>
      </c>
      <c r="H60" t="s">
        <v>104</v>
      </c>
      <c r="I60">
        <v>509</v>
      </c>
      <c r="J60">
        <f>Table1[[#This Row],[Price]]*Table1[[#This Row],[Quantity]]</f>
        <v>6611.91</v>
      </c>
    </row>
    <row r="61" spans="1:10" x14ac:dyDescent="0.3">
      <c r="A61">
        <v>10511</v>
      </c>
      <c r="B61" s="1">
        <v>46052.266881030089</v>
      </c>
      <c r="C61" t="s">
        <v>29</v>
      </c>
      <c r="D61">
        <v>9.9499999999999993</v>
      </c>
      <c r="E61" t="s">
        <v>57</v>
      </c>
      <c r="F61" t="s">
        <v>26</v>
      </c>
      <c r="G61" t="s">
        <v>23</v>
      </c>
      <c r="H61" t="s">
        <v>105</v>
      </c>
      <c r="I61">
        <v>202</v>
      </c>
      <c r="J61">
        <f>Table1[[#This Row],[Price]]*Table1[[#This Row],[Quantity]]</f>
        <v>2009.8999999999999</v>
      </c>
    </row>
    <row r="62" spans="1:10" x14ac:dyDescent="0.3">
      <c r="A62">
        <v>10512</v>
      </c>
      <c r="B62" s="1">
        <v>46052.745980706008</v>
      </c>
      <c r="C62" t="s">
        <v>9</v>
      </c>
      <c r="D62">
        <v>3.49</v>
      </c>
      <c r="E62" t="s">
        <v>57</v>
      </c>
      <c r="F62" t="s">
        <v>26</v>
      </c>
      <c r="G62" t="s">
        <v>23</v>
      </c>
      <c r="H62" t="s">
        <v>105</v>
      </c>
      <c r="I62">
        <v>689</v>
      </c>
      <c r="J62">
        <f>Table1[[#This Row],[Price]]*Table1[[#This Row],[Quantity]]</f>
        <v>2404.61</v>
      </c>
    </row>
    <row r="63" spans="1:10" x14ac:dyDescent="0.3">
      <c r="A63">
        <v>10513</v>
      </c>
      <c r="B63" s="1">
        <v>46053.225080381948</v>
      </c>
      <c r="C63" t="s">
        <v>15</v>
      </c>
      <c r="D63">
        <v>2.95</v>
      </c>
      <c r="E63" t="s">
        <v>57</v>
      </c>
      <c r="F63" t="s">
        <v>58</v>
      </c>
      <c r="G63" t="s">
        <v>23</v>
      </c>
      <c r="H63" t="s">
        <v>105</v>
      </c>
      <c r="I63">
        <v>679</v>
      </c>
      <c r="J63">
        <f>Table1[[#This Row],[Price]]*Table1[[#This Row],[Quantity]]</f>
        <v>2003.0500000000002</v>
      </c>
    </row>
    <row r="64" spans="1:10" x14ac:dyDescent="0.3">
      <c r="A64">
        <v>10514</v>
      </c>
      <c r="B64" s="1">
        <v>46053.704180069442</v>
      </c>
      <c r="C64" t="s">
        <v>19</v>
      </c>
      <c r="D64">
        <v>4.99</v>
      </c>
      <c r="E64" t="s">
        <v>57</v>
      </c>
      <c r="F64" t="s">
        <v>58</v>
      </c>
      <c r="G64" t="s">
        <v>23</v>
      </c>
      <c r="H64" t="s">
        <v>105</v>
      </c>
      <c r="I64">
        <v>201</v>
      </c>
      <c r="J64">
        <f>Table1[[#This Row],[Price]]*Table1[[#This Row],[Quantity]]</f>
        <v>1002.99</v>
      </c>
    </row>
    <row r="65" spans="1:10" x14ac:dyDescent="0.3">
      <c r="A65">
        <v>10515</v>
      </c>
      <c r="B65" s="1">
        <v>46054.183279745368</v>
      </c>
      <c r="C65" t="s">
        <v>24</v>
      </c>
      <c r="D65">
        <v>12.99</v>
      </c>
      <c r="E65" t="s">
        <v>57</v>
      </c>
      <c r="F65" t="s">
        <v>58</v>
      </c>
      <c r="G65" t="s">
        <v>23</v>
      </c>
      <c r="H65" t="s">
        <v>105</v>
      </c>
      <c r="I65">
        <v>478</v>
      </c>
      <c r="J65">
        <f>Table1[[#This Row],[Price]]*Table1[[#This Row],[Quantity]]</f>
        <v>6209.22</v>
      </c>
    </row>
    <row r="66" spans="1:10" x14ac:dyDescent="0.3">
      <c r="A66">
        <v>10516</v>
      </c>
      <c r="B66" s="1">
        <v>46054.662379421286</v>
      </c>
      <c r="C66" t="s">
        <v>29</v>
      </c>
      <c r="D66">
        <v>9.9499999999999993</v>
      </c>
      <c r="E66" t="s">
        <v>57</v>
      </c>
      <c r="F66" t="s">
        <v>58</v>
      </c>
      <c r="G66" t="s">
        <v>23</v>
      </c>
      <c r="H66" t="s">
        <v>105</v>
      </c>
      <c r="I66">
        <v>202</v>
      </c>
      <c r="J66">
        <f>Table1[[#This Row],[Price]]*Table1[[#This Row],[Quantity]]</f>
        <v>2009.8999999999999</v>
      </c>
    </row>
    <row r="67" spans="1:10" x14ac:dyDescent="0.3">
      <c r="A67">
        <v>10483</v>
      </c>
      <c r="B67" s="1">
        <v>46055.141479097219</v>
      </c>
      <c r="C67" t="s">
        <v>15</v>
      </c>
      <c r="D67">
        <v>2.95</v>
      </c>
      <c r="E67" t="s">
        <v>21</v>
      </c>
      <c r="F67" t="s">
        <v>26</v>
      </c>
      <c r="G67" t="s">
        <v>23</v>
      </c>
      <c r="H67" t="s">
        <v>105</v>
      </c>
      <c r="I67">
        <v>679</v>
      </c>
      <c r="J67">
        <f>Table1[[#This Row],[Price]]*Table1[[#This Row],[Quantity]]</f>
        <v>2003.0500000000002</v>
      </c>
    </row>
    <row r="68" spans="1:10" x14ac:dyDescent="0.3">
      <c r="A68">
        <v>10484</v>
      </c>
      <c r="B68" s="1">
        <v>46055.620578773152</v>
      </c>
      <c r="C68" t="s">
        <v>19</v>
      </c>
      <c r="D68">
        <v>4.99</v>
      </c>
      <c r="E68" t="s">
        <v>21</v>
      </c>
      <c r="F68" t="s">
        <v>26</v>
      </c>
      <c r="G68" t="s">
        <v>23</v>
      </c>
      <c r="H68" t="s">
        <v>105</v>
      </c>
      <c r="I68">
        <v>201</v>
      </c>
      <c r="J68">
        <f>Table1[[#This Row],[Price]]*Table1[[#This Row],[Quantity]]</f>
        <v>1002.99</v>
      </c>
    </row>
    <row r="69" spans="1:10" x14ac:dyDescent="0.3">
      <c r="A69">
        <v>10485</v>
      </c>
      <c r="B69" s="1">
        <v>46056.099678460647</v>
      </c>
      <c r="C69" t="s">
        <v>24</v>
      </c>
      <c r="D69">
        <v>12.99</v>
      </c>
      <c r="E69" t="s">
        <v>21</v>
      </c>
      <c r="F69" t="s">
        <v>26</v>
      </c>
      <c r="G69" t="s">
        <v>23</v>
      </c>
      <c r="H69" t="s">
        <v>105</v>
      </c>
      <c r="I69">
        <v>524</v>
      </c>
      <c r="J69">
        <f>Table1[[#This Row],[Price]]*Table1[[#This Row],[Quantity]]</f>
        <v>6806.76</v>
      </c>
    </row>
    <row r="70" spans="1:10" x14ac:dyDescent="0.3">
      <c r="A70">
        <v>10520</v>
      </c>
      <c r="B70" s="1">
        <v>46056.578778136573</v>
      </c>
      <c r="C70" t="s">
        <v>24</v>
      </c>
      <c r="D70">
        <v>12.99</v>
      </c>
      <c r="E70" t="s">
        <v>57</v>
      </c>
      <c r="F70" t="s">
        <v>58</v>
      </c>
      <c r="G70" t="s">
        <v>33</v>
      </c>
      <c r="H70" t="s">
        <v>107</v>
      </c>
      <c r="I70">
        <v>494</v>
      </c>
      <c r="J70">
        <f>Table1[[#This Row],[Price]]*Table1[[#This Row],[Quantity]]</f>
        <v>6417.06</v>
      </c>
    </row>
    <row r="71" spans="1:10" x14ac:dyDescent="0.3">
      <c r="A71">
        <v>10521</v>
      </c>
      <c r="B71" s="1">
        <v>46057.057877812498</v>
      </c>
      <c r="C71" t="s">
        <v>29</v>
      </c>
      <c r="D71">
        <v>9.9499999999999993</v>
      </c>
      <c r="E71" t="s">
        <v>57</v>
      </c>
      <c r="F71" t="s">
        <v>58</v>
      </c>
      <c r="G71" t="s">
        <v>33</v>
      </c>
      <c r="H71" t="s">
        <v>107</v>
      </c>
      <c r="I71">
        <v>202</v>
      </c>
      <c r="J71">
        <f>Table1[[#This Row],[Price]]*Table1[[#This Row],[Quantity]]</f>
        <v>2009.8999999999999</v>
      </c>
    </row>
    <row r="72" spans="1:10" x14ac:dyDescent="0.3">
      <c r="A72">
        <v>10522</v>
      </c>
      <c r="B72" s="1">
        <v>46057.536977488417</v>
      </c>
      <c r="C72" t="s">
        <v>9</v>
      </c>
      <c r="D72">
        <v>3.49</v>
      </c>
      <c r="E72" t="s">
        <v>57</v>
      </c>
      <c r="F72" t="s">
        <v>58</v>
      </c>
      <c r="G72" t="s">
        <v>33</v>
      </c>
      <c r="H72" t="s">
        <v>107</v>
      </c>
      <c r="I72">
        <v>689</v>
      </c>
      <c r="J72">
        <f>Table1[[#This Row],[Price]]*Table1[[#This Row],[Quantity]]</f>
        <v>2404.61</v>
      </c>
    </row>
    <row r="73" spans="1:10" x14ac:dyDescent="0.3">
      <c r="A73">
        <v>10523</v>
      </c>
      <c r="B73" s="1">
        <v>46058.016077175933</v>
      </c>
      <c r="C73" t="s">
        <v>15</v>
      </c>
      <c r="D73">
        <v>2.95</v>
      </c>
      <c r="E73" t="s">
        <v>57</v>
      </c>
      <c r="F73" t="s">
        <v>58</v>
      </c>
      <c r="G73" t="s">
        <v>33</v>
      </c>
      <c r="H73" t="s">
        <v>107</v>
      </c>
      <c r="I73">
        <v>747</v>
      </c>
      <c r="J73">
        <f>Table1[[#This Row],[Price]]*Table1[[#This Row],[Quantity]]</f>
        <v>2203.65</v>
      </c>
    </row>
    <row r="74" spans="1:10" x14ac:dyDescent="0.3">
      <c r="A74">
        <v>10524</v>
      </c>
      <c r="B74" s="1">
        <v>46058.495176851851</v>
      </c>
      <c r="C74" t="s">
        <v>19</v>
      </c>
      <c r="D74">
        <v>4.99</v>
      </c>
      <c r="E74" t="s">
        <v>57</v>
      </c>
      <c r="F74" t="s">
        <v>58</v>
      </c>
      <c r="G74" t="s">
        <v>33</v>
      </c>
      <c r="H74" t="s">
        <v>107</v>
      </c>
      <c r="I74">
        <v>201</v>
      </c>
      <c r="J74">
        <f>Table1[[#This Row],[Price]]*Table1[[#This Row],[Quantity]]</f>
        <v>1002.99</v>
      </c>
    </row>
    <row r="75" spans="1:10" x14ac:dyDescent="0.3">
      <c r="A75">
        <v>10525</v>
      </c>
      <c r="B75" s="1">
        <v>46058.974276527777</v>
      </c>
      <c r="C75" t="s">
        <v>24</v>
      </c>
      <c r="D75">
        <v>12.99</v>
      </c>
      <c r="E75" t="s">
        <v>57</v>
      </c>
      <c r="F75" t="s">
        <v>58</v>
      </c>
      <c r="G75" t="s">
        <v>33</v>
      </c>
      <c r="H75" t="s">
        <v>107</v>
      </c>
      <c r="I75">
        <v>463</v>
      </c>
      <c r="J75">
        <f>Table1[[#This Row],[Price]]*Table1[[#This Row],[Quantity]]</f>
        <v>6014.37</v>
      </c>
    </row>
    <row r="76" spans="1:10" x14ac:dyDescent="0.3">
      <c r="A76">
        <v>10526</v>
      </c>
      <c r="B76" s="1">
        <v>46059.453376203703</v>
      </c>
      <c r="C76" t="s">
        <v>29</v>
      </c>
      <c r="D76">
        <v>9.9499999999999993</v>
      </c>
      <c r="E76" t="s">
        <v>57</v>
      </c>
      <c r="F76" t="s">
        <v>58</v>
      </c>
      <c r="G76" t="s">
        <v>33</v>
      </c>
      <c r="H76" t="s">
        <v>107</v>
      </c>
      <c r="I76">
        <v>202</v>
      </c>
      <c r="J76">
        <f>Table1[[#This Row],[Price]]*Table1[[#This Row],[Quantity]]</f>
        <v>2009.8999999999999</v>
      </c>
    </row>
    <row r="77" spans="1:10" x14ac:dyDescent="0.3">
      <c r="A77">
        <v>10527</v>
      </c>
      <c r="B77" s="1">
        <v>46059.932475879628</v>
      </c>
      <c r="C77" t="s">
        <v>9</v>
      </c>
      <c r="D77">
        <v>3.49</v>
      </c>
      <c r="E77" t="s">
        <v>57</v>
      </c>
      <c r="F77" t="s">
        <v>58</v>
      </c>
      <c r="G77" t="s">
        <v>33</v>
      </c>
      <c r="H77" t="s">
        <v>107</v>
      </c>
      <c r="I77">
        <v>688</v>
      </c>
      <c r="J77">
        <f>Table1[[#This Row],[Price]]*Table1[[#This Row],[Quantity]]</f>
        <v>2401.1200000000003</v>
      </c>
    </row>
    <row r="78" spans="1:10" x14ac:dyDescent="0.3">
      <c r="A78">
        <v>10528</v>
      </c>
      <c r="B78" s="1">
        <v>46060.41157556713</v>
      </c>
      <c r="C78" t="s">
        <v>15</v>
      </c>
      <c r="D78">
        <v>2.95</v>
      </c>
      <c r="E78" t="s">
        <v>57</v>
      </c>
      <c r="F78" t="s">
        <v>58</v>
      </c>
      <c r="G78" t="s">
        <v>33</v>
      </c>
      <c r="H78" t="s">
        <v>107</v>
      </c>
      <c r="I78">
        <v>747</v>
      </c>
      <c r="J78">
        <f>Table1[[#This Row],[Price]]*Table1[[#This Row],[Quantity]]</f>
        <v>2203.65</v>
      </c>
    </row>
    <row r="79" spans="1:10" x14ac:dyDescent="0.3">
      <c r="A79">
        <v>10529</v>
      </c>
      <c r="B79" s="1">
        <v>46060.890675243063</v>
      </c>
      <c r="C79" t="s">
        <v>19</v>
      </c>
      <c r="D79">
        <v>4.99</v>
      </c>
      <c r="E79" t="s">
        <v>57</v>
      </c>
      <c r="F79" t="s">
        <v>58</v>
      </c>
      <c r="G79" t="s">
        <v>33</v>
      </c>
      <c r="H79" t="s">
        <v>107</v>
      </c>
      <c r="I79">
        <v>201</v>
      </c>
      <c r="J79">
        <f>Table1[[#This Row],[Price]]*Table1[[#This Row],[Quantity]]</f>
        <v>1002.99</v>
      </c>
    </row>
    <row r="80" spans="1:10" x14ac:dyDescent="0.3">
      <c r="A80">
        <v>10530</v>
      </c>
      <c r="B80" s="1">
        <v>46061.369774918981</v>
      </c>
      <c r="C80" t="s">
        <v>24</v>
      </c>
      <c r="D80">
        <v>12.99</v>
      </c>
      <c r="E80" t="s">
        <v>57</v>
      </c>
      <c r="F80" t="s">
        <v>58</v>
      </c>
      <c r="G80" t="s">
        <v>33</v>
      </c>
      <c r="H80" t="s">
        <v>107</v>
      </c>
      <c r="I80">
        <v>478</v>
      </c>
      <c r="J80">
        <f>Table1[[#This Row],[Price]]*Table1[[#This Row],[Quantity]]</f>
        <v>6209.22</v>
      </c>
    </row>
    <row r="81" spans="1:10" x14ac:dyDescent="0.3">
      <c r="A81">
        <v>10531</v>
      </c>
      <c r="B81" s="1">
        <v>46061.848874594907</v>
      </c>
      <c r="C81" t="s">
        <v>29</v>
      </c>
      <c r="D81">
        <v>9.9499999999999993</v>
      </c>
      <c r="E81" t="s">
        <v>57</v>
      </c>
      <c r="F81" t="s">
        <v>58</v>
      </c>
      <c r="G81" t="s">
        <v>33</v>
      </c>
      <c r="H81" t="s">
        <v>107</v>
      </c>
      <c r="I81">
        <v>202</v>
      </c>
      <c r="J81">
        <f>Table1[[#This Row],[Price]]*Table1[[#This Row],[Quantity]]</f>
        <v>2009.8999999999999</v>
      </c>
    </row>
    <row r="82" spans="1:10" x14ac:dyDescent="0.3">
      <c r="A82">
        <v>10532</v>
      </c>
      <c r="B82" s="1">
        <v>46062.327974270833</v>
      </c>
      <c r="C82" t="s">
        <v>9</v>
      </c>
      <c r="D82">
        <v>3.49</v>
      </c>
      <c r="E82" t="s">
        <v>57</v>
      </c>
      <c r="F82" t="s">
        <v>58</v>
      </c>
      <c r="G82" t="s">
        <v>23</v>
      </c>
      <c r="H82" t="s">
        <v>105</v>
      </c>
      <c r="I82">
        <v>689</v>
      </c>
      <c r="J82">
        <f>Table1[[#This Row],[Price]]*Table1[[#This Row],[Quantity]]</f>
        <v>2404.61</v>
      </c>
    </row>
    <row r="83" spans="1:10" x14ac:dyDescent="0.3">
      <c r="A83">
        <v>10533</v>
      </c>
      <c r="B83" s="1">
        <v>46062.807073958327</v>
      </c>
      <c r="C83" t="s">
        <v>15</v>
      </c>
      <c r="D83">
        <v>2.95</v>
      </c>
      <c r="E83" t="s">
        <v>57</v>
      </c>
      <c r="F83" t="s">
        <v>58</v>
      </c>
      <c r="G83" t="s">
        <v>23</v>
      </c>
      <c r="H83" t="s">
        <v>105</v>
      </c>
      <c r="I83">
        <v>746</v>
      </c>
      <c r="J83">
        <f>Table1[[#This Row],[Price]]*Table1[[#This Row],[Quantity]]</f>
        <v>2200.7000000000003</v>
      </c>
    </row>
    <row r="84" spans="1:10" x14ac:dyDescent="0.3">
      <c r="A84">
        <v>10534</v>
      </c>
      <c r="B84" s="1">
        <v>46063.28617363426</v>
      </c>
      <c r="C84" t="s">
        <v>19</v>
      </c>
      <c r="D84">
        <v>4.99</v>
      </c>
      <c r="E84" t="s">
        <v>57</v>
      </c>
      <c r="F84" t="s">
        <v>58</v>
      </c>
      <c r="G84" t="s">
        <v>18</v>
      </c>
      <c r="H84" t="s">
        <v>104</v>
      </c>
      <c r="I84">
        <v>202</v>
      </c>
      <c r="J84">
        <f>Table1[[#This Row],[Price]]*Table1[[#This Row],[Quantity]]</f>
        <v>1007.98</v>
      </c>
    </row>
    <row r="85" spans="1:10" x14ac:dyDescent="0.3">
      <c r="A85">
        <v>10535</v>
      </c>
      <c r="B85" s="1">
        <v>46063.765273310193</v>
      </c>
      <c r="C85" t="s">
        <v>24</v>
      </c>
      <c r="D85">
        <v>12.99</v>
      </c>
      <c r="E85" t="s">
        <v>57</v>
      </c>
      <c r="F85" t="s">
        <v>26</v>
      </c>
      <c r="G85" t="s">
        <v>18</v>
      </c>
      <c r="H85" t="s">
        <v>104</v>
      </c>
      <c r="I85">
        <v>478</v>
      </c>
      <c r="J85">
        <f>Table1[[#This Row],[Price]]*Table1[[#This Row],[Quantity]]</f>
        <v>6209.22</v>
      </c>
    </row>
    <row r="86" spans="1:10" x14ac:dyDescent="0.3">
      <c r="A86">
        <v>10536</v>
      </c>
      <c r="B86" s="1">
        <v>46064.244372986112</v>
      </c>
      <c r="C86" t="s">
        <v>29</v>
      </c>
      <c r="D86">
        <v>9.9499999999999993</v>
      </c>
      <c r="E86" t="s">
        <v>57</v>
      </c>
      <c r="F86" t="s">
        <v>26</v>
      </c>
      <c r="G86" t="s">
        <v>18</v>
      </c>
      <c r="H86" t="s">
        <v>104</v>
      </c>
      <c r="I86">
        <v>202</v>
      </c>
      <c r="J86">
        <f>Table1[[#This Row],[Price]]*Table1[[#This Row],[Quantity]]</f>
        <v>2009.8999999999999</v>
      </c>
    </row>
    <row r="87" spans="1:10" x14ac:dyDescent="0.3">
      <c r="A87">
        <v>10537</v>
      </c>
      <c r="B87" s="1">
        <v>46064.723472673613</v>
      </c>
      <c r="C87" t="s">
        <v>9</v>
      </c>
      <c r="D87">
        <v>3.49</v>
      </c>
      <c r="E87" t="s">
        <v>57</v>
      </c>
      <c r="F87" t="s">
        <v>26</v>
      </c>
      <c r="G87" t="s">
        <v>18</v>
      </c>
      <c r="H87" t="s">
        <v>104</v>
      </c>
      <c r="I87">
        <v>631</v>
      </c>
      <c r="J87">
        <f>Table1[[#This Row],[Price]]*Table1[[#This Row],[Quantity]]</f>
        <v>2202.19</v>
      </c>
    </row>
    <row r="88" spans="1:10" x14ac:dyDescent="0.3">
      <c r="A88">
        <v>10538</v>
      </c>
      <c r="B88" s="1">
        <v>46065.202572349539</v>
      </c>
      <c r="C88" t="s">
        <v>15</v>
      </c>
      <c r="D88">
        <v>2.95</v>
      </c>
      <c r="E88" t="s">
        <v>57</v>
      </c>
      <c r="F88" t="s">
        <v>26</v>
      </c>
      <c r="G88" t="s">
        <v>18</v>
      </c>
      <c r="H88" t="s">
        <v>104</v>
      </c>
      <c r="I88">
        <v>747</v>
      </c>
      <c r="J88">
        <f>Table1[[#This Row],[Price]]*Table1[[#This Row],[Quantity]]</f>
        <v>2203.65</v>
      </c>
    </row>
    <row r="89" spans="1:10" x14ac:dyDescent="0.3">
      <c r="A89">
        <v>10539</v>
      </c>
      <c r="B89" s="1">
        <v>46065.681672025457</v>
      </c>
      <c r="C89" t="s">
        <v>19</v>
      </c>
      <c r="D89">
        <v>4.99</v>
      </c>
      <c r="E89" t="s">
        <v>57</v>
      </c>
      <c r="F89" t="s">
        <v>26</v>
      </c>
      <c r="G89" t="s">
        <v>18</v>
      </c>
      <c r="H89" t="s">
        <v>104</v>
      </c>
      <c r="I89">
        <v>202</v>
      </c>
      <c r="J89">
        <f>Table1[[#This Row],[Price]]*Table1[[#This Row],[Quantity]]</f>
        <v>1007.98</v>
      </c>
    </row>
    <row r="90" spans="1:10" x14ac:dyDescent="0.3">
      <c r="A90">
        <v>10540</v>
      </c>
      <c r="B90" s="1">
        <v>46066.16077170139</v>
      </c>
      <c r="C90" t="s">
        <v>24</v>
      </c>
      <c r="D90">
        <v>12.99</v>
      </c>
      <c r="E90" t="s">
        <v>57</v>
      </c>
      <c r="F90" t="s">
        <v>26</v>
      </c>
      <c r="G90" t="s">
        <v>18</v>
      </c>
      <c r="H90" t="s">
        <v>104</v>
      </c>
      <c r="I90">
        <v>463</v>
      </c>
      <c r="J90">
        <f>Table1[[#This Row],[Price]]*Table1[[#This Row],[Quantity]]</f>
        <v>6014.37</v>
      </c>
    </row>
    <row r="91" spans="1:10" x14ac:dyDescent="0.3">
      <c r="A91">
        <v>10541</v>
      </c>
      <c r="B91" s="1">
        <v>46066.639871377323</v>
      </c>
      <c r="C91" t="s">
        <v>29</v>
      </c>
      <c r="D91">
        <v>9.9499999999999993</v>
      </c>
      <c r="E91" t="s">
        <v>57</v>
      </c>
      <c r="F91" t="s">
        <v>26</v>
      </c>
      <c r="G91" t="s">
        <v>14</v>
      </c>
      <c r="H91" t="s">
        <v>103</v>
      </c>
      <c r="I91">
        <v>202</v>
      </c>
      <c r="J91">
        <f>Table1[[#This Row],[Price]]*Table1[[#This Row],[Quantity]]</f>
        <v>2009.8999999999999</v>
      </c>
    </row>
    <row r="92" spans="1:10" x14ac:dyDescent="0.3">
      <c r="A92">
        <v>10542</v>
      </c>
      <c r="B92" s="1">
        <v>46067.118971064818</v>
      </c>
      <c r="C92" t="s">
        <v>9</v>
      </c>
      <c r="D92">
        <v>3.49</v>
      </c>
      <c r="E92" t="s">
        <v>57</v>
      </c>
      <c r="F92" t="s">
        <v>26</v>
      </c>
      <c r="G92" t="s">
        <v>14</v>
      </c>
      <c r="H92" t="s">
        <v>103</v>
      </c>
      <c r="I92">
        <v>631</v>
      </c>
      <c r="J92">
        <f>Table1[[#This Row],[Price]]*Table1[[#This Row],[Quantity]]</f>
        <v>2202.19</v>
      </c>
    </row>
    <row r="93" spans="1:10" x14ac:dyDescent="0.3">
      <c r="A93">
        <v>10543</v>
      </c>
      <c r="B93" s="1">
        <v>46067.598070740743</v>
      </c>
      <c r="C93" t="s">
        <v>15</v>
      </c>
      <c r="D93">
        <v>2.95</v>
      </c>
      <c r="E93" t="s">
        <v>57</v>
      </c>
      <c r="F93" t="s">
        <v>26</v>
      </c>
      <c r="G93" t="s">
        <v>14</v>
      </c>
      <c r="H93" t="s">
        <v>103</v>
      </c>
      <c r="I93">
        <v>746</v>
      </c>
      <c r="J93">
        <f>Table1[[#This Row],[Price]]*Table1[[#This Row],[Quantity]]</f>
        <v>2200.7000000000003</v>
      </c>
    </row>
    <row r="94" spans="1:10" x14ac:dyDescent="0.3">
      <c r="A94">
        <v>10544</v>
      </c>
      <c r="B94" s="1">
        <v>46068.077170416669</v>
      </c>
      <c r="C94" t="s">
        <v>19</v>
      </c>
      <c r="D94">
        <v>4.99</v>
      </c>
      <c r="E94" t="s">
        <v>57</v>
      </c>
      <c r="F94" t="s">
        <v>26</v>
      </c>
      <c r="G94" t="s">
        <v>14</v>
      </c>
      <c r="H94" t="s">
        <v>103</v>
      </c>
      <c r="I94">
        <v>201</v>
      </c>
      <c r="J94">
        <f>Table1[[#This Row],[Price]]*Table1[[#This Row],[Quantity]]</f>
        <v>1002.99</v>
      </c>
    </row>
    <row r="95" spans="1:10" x14ac:dyDescent="0.3">
      <c r="A95">
        <v>10545</v>
      </c>
      <c r="B95" s="1">
        <v>46068.556270092588</v>
      </c>
      <c r="C95" t="s">
        <v>24</v>
      </c>
      <c r="D95">
        <v>12.99</v>
      </c>
      <c r="E95" t="s">
        <v>57</v>
      </c>
      <c r="F95" t="s">
        <v>26</v>
      </c>
      <c r="G95" t="s">
        <v>14</v>
      </c>
      <c r="H95" t="s">
        <v>103</v>
      </c>
      <c r="I95">
        <v>447</v>
      </c>
      <c r="J95">
        <f>Table1[[#This Row],[Price]]*Table1[[#This Row],[Quantity]]</f>
        <v>5806.53</v>
      </c>
    </row>
    <row r="96" spans="1:10" x14ac:dyDescent="0.3">
      <c r="A96">
        <v>10546</v>
      </c>
      <c r="B96" s="1">
        <v>46069.035369780089</v>
      </c>
      <c r="C96" t="s">
        <v>29</v>
      </c>
      <c r="D96">
        <v>9.9499999999999993</v>
      </c>
      <c r="E96" t="s">
        <v>57</v>
      </c>
      <c r="F96" t="s">
        <v>26</v>
      </c>
      <c r="G96" t="s">
        <v>14</v>
      </c>
      <c r="H96" t="s">
        <v>103</v>
      </c>
      <c r="I96">
        <v>202</v>
      </c>
      <c r="J96">
        <f>Table1[[#This Row],[Price]]*Table1[[#This Row],[Quantity]]</f>
        <v>2009.8999999999999</v>
      </c>
    </row>
    <row r="97" spans="1:10" x14ac:dyDescent="0.3">
      <c r="A97">
        <v>10547</v>
      </c>
      <c r="B97" s="1">
        <v>46069.514469456008</v>
      </c>
      <c r="C97" t="s">
        <v>9</v>
      </c>
      <c r="D97">
        <v>3.49</v>
      </c>
      <c r="E97" t="s">
        <v>57</v>
      </c>
      <c r="F97" t="s">
        <v>26</v>
      </c>
      <c r="G97" t="s">
        <v>14</v>
      </c>
      <c r="H97" t="s">
        <v>103</v>
      </c>
      <c r="I97">
        <v>631</v>
      </c>
      <c r="J97">
        <f>Table1[[#This Row],[Price]]*Table1[[#This Row],[Quantity]]</f>
        <v>2202.19</v>
      </c>
    </row>
    <row r="98" spans="1:10" x14ac:dyDescent="0.3">
      <c r="A98">
        <v>10548</v>
      </c>
      <c r="B98" s="1">
        <v>46069.993569131948</v>
      </c>
      <c r="C98" t="s">
        <v>15</v>
      </c>
      <c r="D98">
        <v>2.95</v>
      </c>
      <c r="E98" t="s">
        <v>57</v>
      </c>
      <c r="F98" t="s">
        <v>26</v>
      </c>
      <c r="G98" t="s">
        <v>14</v>
      </c>
      <c r="H98" t="s">
        <v>103</v>
      </c>
      <c r="I98">
        <v>747</v>
      </c>
      <c r="J98">
        <f>Table1[[#This Row],[Price]]*Table1[[#This Row],[Quantity]]</f>
        <v>2203.65</v>
      </c>
    </row>
    <row r="99" spans="1:10" x14ac:dyDescent="0.3">
      <c r="A99">
        <v>10549</v>
      </c>
      <c r="B99" s="1">
        <v>46070.472668807874</v>
      </c>
      <c r="C99" t="s">
        <v>19</v>
      </c>
      <c r="D99">
        <v>4.99</v>
      </c>
      <c r="E99" t="s">
        <v>57</v>
      </c>
      <c r="F99" t="s">
        <v>26</v>
      </c>
      <c r="G99" t="s">
        <v>14</v>
      </c>
      <c r="H99" t="s">
        <v>103</v>
      </c>
      <c r="I99">
        <v>202</v>
      </c>
      <c r="J99">
        <f>Table1[[#This Row],[Price]]*Table1[[#This Row],[Quantity]]</f>
        <v>1007.98</v>
      </c>
    </row>
    <row r="100" spans="1:10" x14ac:dyDescent="0.3">
      <c r="A100">
        <v>10550</v>
      </c>
      <c r="B100" s="1">
        <v>46070.951768483799</v>
      </c>
      <c r="C100" t="s">
        <v>24</v>
      </c>
      <c r="D100">
        <v>12.99</v>
      </c>
      <c r="E100" t="s">
        <v>57</v>
      </c>
      <c r="F100" t="s">
        <v>26</v>
      </c>
      <c r="G100" t="s">
        <v>14</v>
      </c>
      <c r="H100" t="s">
        <v>103</v>
      </c>
      <c r="I100">
        <v>463</v>
      </c>
      <c r="J100">
        <f>Table1[[#This Row],[Price]]*Table1[[#This Row],[Quantity]]</f>
        <v>6014.37</v>
      </c>
    </row>
    <row r="101" spans="1:10" x14ac:dyDescent="0.3">
      <c r="A101">
        <v>10551</v>
      </c>
      <c r="B101" s="1">
        <v>46071.430868171286</v>
      </c>
      <c r="C101" t="s">
        <v>29</v>
      </c>
      <c r="D101">
        <v>9.9499999999999993</v>
      </c>
      <c r="E101" t="s">
        <v>57</v>
      </c>
      <c r="F101" t="s">
        <v>26</v>
      </c>
      <c r="G101" t="s">
        <v>14</v>
      </c>
      <c r="H101" t="s">
        <v>103</v>
      </c>
      <c r="I101">
        <v>202</v>
      </c>
      <c r="J101">
        <f>Table1[[#This Row],[Price]]*Table1[[#This Row],[Quantity]]</f>
        <v>2009.8999999999999</v>
      </c>
    </row>
    <row r="102" spans="1:10" x14ac:dyDescent="0.3">
      <c r="A102">
        <v>10552</v>
      </c>
      <c r="B102" s="1">
        <v>46071.909967847219</v>
      </c>
      <c r="C102" t="s">
        <v>9</v>
      </c>
      <c r="D102">
        <v>3.49</v>
      </c>
      <c r="E102" t="s">
        <v>11</v>
      </c>
      <c r="F102" t="s">
        <v>26</v>
      </c>
      <c r="G102" t="s">
        <v>14</v>
      </c>
      <c r="H102" t="s">
        <v>103</v>
      </c>
      <c r="I102">
        <v>631</v>
      </c>
      <c r="J102">
        <f>Table1[[#This Row],[Price]]*Table1[[#This Row],[Quantity]]</f>
        <v>2202.19</v>
      </c>
    </row>
    <row r="103" spans="1:10" x14ac:dyDescent="0.3">
      <c r="A103">
        <v>10553</v>
      </c>
      <c r="B103" s="1">
        <v>46072.389067523152</v>
      </c>
      <c r="C103" t="s">
        <v>15</v>
      </c>
      <c r="D103">
        <v>2.95</v>
      </c>
      <c r="E103" t="s">
        <v>11</v>
      </c>
      <c r="F103" t="s">
        <v>26</v>
      </c>
      <c r="G103" t="s">
        <v>14</v>
      </c>
      <c r="H103" t="s">
        <v>103</v>
      </c>
      <c r="I103">
        <v>747</v>
      </c>
      <c r="J103">
        <f>Table1[[#This Row],[Price]]*Table1[[#This Row],[Quantity]]</f>
        <v>2203.65</v>
      </c>
    </row>
    <row r="104" spans="1:10" x14ac:dyDescent="0.3">
      <c r="A104">
        <v>10554</v>
      </c>
      <c r="B104" s="1">
        <v>46072.868167199071</v>
      </c>
      <c r="C104" t="s">
        <v>19</v>
      </c>
      <c r="D104">
        <v>4.99</v>
      </c>
      <c r="E104" t="s">
        <v>11</v>
      </c>
      <c r="F104" t="s">
        <v>26</v>
      </c>
      <c r="G104" t="s">
        <v>14</v>
      </c>
      <c r="H104" t="s">
        <v>103</v>
      </c>
      <c r="I104">
        <v>201</v>
      </c>
      <c r="J104">
        <f>Table1[[#This Row],[Price]]*Table1[[#This Row],[Quantity]]</f>
        <v>1002.99</v>
      </c>
    </row>
    <row r="105" spans="1:10" x14ac:dyDescent="0.3">
      <c r="A105">
        <v>10555</v>
      </c>
      <c r="B105" s="1">
        <v>46073.347266886572</v>
      </c>
      <c r="C105" t="s">
        <v>24</v>
      </c>
      <c r="D105">
        <v>12.99</v>
      </c>
      <c r="E105" t="s">
        <v>11</v>
      </c>
      <c r="F105" t="s">
        <v>26</v>
      </c>
      <c r="G105" t="s">
        <v>14</v>
      </c>
      <c r="H105" t="s">
        <v>103</v>
      </c>
      <c r="I105">
        <v>478</v>
      </c>
      <c r="J105">
        <f>Table1[[#This Row],[Price]]*Table1[[#This Row],[Quantity]]</f>
        <v>6209.22</v>
      </c>
    </row>
    <row r="106" spans="1:10" x14ac:dyDescent="0.3">
      <c r="A106">
        <v>10556</v>
      </c>
      <c r="B106" s="1">
        <v>46073.826366562498</v>
      </c>
      <c r="C106" t="s">
        <v>29</v>
      </c>
      <c r="D106">
        <v>9.9499999999999993</v>
      </c>
      <c r="E106" t="s">
        <v>11</v>
      </c>
      <c r="F106" t="s">
        <v>26</v>
      </c>
      <c r="G106" t="s">
        <v>14</v>
      </c>
      <c r="H106" t="s">
        <v>103</v>
      </c>
      <c r="I106">
        <v>202</v>
      </c>
      <c r="J106">
        <f>Table1[[#This Row],[Price]]*Table1[[#This Row],[Quantity]]</f>
        <v>2009.8999999999999</v>
      </c>
    </row>
    <row r="107" spans="1:10" x14ac:dyDescent="0.3">
      <c r="A107">
        <v>10557</v>
      </c>
      <c r="B107" s="1">
        <v>46074.305466238417</v>
      </c>
      <c r="C107" t="s">
        <v>9</v>
      </c>
      <c r="D107">
        <v>3.49</v>
      </c>
      <c r="E107" t="s">
        <v>11</v>
      </c>
      <c r="F107" t="s">
        <v>26</v>
      </c>
      <c r="G107" t="s">
        <v>14</v>
      </c>
      <c r="H107" t="s">
        <v>103</v>
      </c>
      <c r="I107">
        <v>631</v>
      </c>
      <c r="J107">
        <f>Table1[[#This Row],[Price]]*Table1[[#This Row],[Quantity]]</f>
        <v>2202.19</v>
      </c>
    </row>
    <row r="108" spans="1:10" x14ac:dyDescent="0.3">
      <c r="A108">
        <v>10558</v>
      </c>
      <c r="B108" s="1">
        <v>46074.78456591435</v>
      </c>
      <c r="C108" t="s">
        <v>15</v>
      </c>
      <c r="D108">
        <v>2.95</v>
      </c>
      <c r="E108" t="s">
        <v>11</v>
      </c>
      <c r="F108" t="s">
        <v>26</v>
      </c>
      <c r="G108" t="s">
        <v>14</v>
      </c>
      <c r="H108" t="s">
        <v>103</v>
      </c>
      <c r="I108">
        <v>679</v>
      </c>
      <c r="J108">
        <f>Table1[[#This Row],[Price]]*Table1[[#This Row],[Quantity]]</f>
        <v>2003.0500000000002</v>
      </c>
    </row>
    <row r="109" spans="1:10" x14ac:dyDescent="0.3">
      <c r="A109">
        <v>10559</v>
      </c>
      <c r="B109" s="1">
        <v>46075.263665590282</v>
      </c>
      <c r="C109" t="s">
        <v>19</v>
      </c>
      <c r="D109">
        <v>4.99</v>
      </c>
      <c r="E109" t="s">
        <v>11</v>
      </c>
      <c r="F109" t="s">
        <v>26</v>
      </c>
      <c r="G109" t="s">
        <v>14</v>
      </c>
      <c r="H109" t="s">
        <v>103</v>
      </c>
      <c r="I109">
        <v>201</v>
      </c>
      <c r="J109">
        <f>Table1[[#This Row],[Price]]*Table1[[#This Row],[Quantity]]</f>
        <v>1002.99</v>
      </c>
    </row>
    <row r="110" spans="1:10" x14ac:dyDescent="0.3">
      <c r="A110">
        <v>10560</v>
      </c>
      <c r="B110" s="1">
        <v>46075.742765277777</v>
      </c>
      <c r="C110" t="s">
        <v>24</v>
      </c>
      <c r="D110">
        <v>12.99</v>
      </c>
      <c r="E110" t="s">
        <v>11</v>
      </c>
      <c r="F110" t="s">
        <v>26</v>
      </c>
      <c r="G110" t="s">
        <v>14</v>
      </c>
      <c r="H110" t="s">
        <v>103</v>
      </c>
      <c r="I110">
        <v>479</v>
      </c>
      <c r="J110">
        <f>Table1[[#This Row],[Price]]*Table1[[#This Row],[Quantity]]</f>
        <v>6222.21</v>
      </c>
    </row>
    <row r="111" spans="1:10" x14ac:dyDescent="0.3">
      <c r="A111">
        <v>10561</v>
      </c>
      <c r="B111" s="1">
        <v>46076.221864953703</v>
      </c>
      <c r="C111" t="s">
        <v>29</v>
      </c>
      <c r="D111">
        <v>9.9499999999999993</v>
      </c>
      <c r="E111" t="s">
        <v>11</v>
      </c>
      <c r="F111" t="s">
        <v>26</v>
      </c>
      <c r="G111" t="s">
        <v>14</v>
      </c>
      <c r="H111" t="s">
        <v>103</v>
      </c>
      <c r="I111">
        <v>202</v>
      </c>
      <c r="J111">
        <f>Table1[[#This Row],[Price]]*Table1[[#This Row],[Quantity]]</f>
        <v>2009.8999999999999</v>
      </c>
    </row>
    <row r="112" spans="1:10" x14ac:dyDescent="0.3">
      <c r="A112">
        <v>10562</v>
      </c>
      <c r="B112" s="1">
        <v>46076.700964629628</v>
      </c>
      <c r="C112" t="s">
        <v>9</v>
      </c>
      <c r="D112">
        <v>3.49</v>
      </c>
      <c r="E112" t="s">
        <v>11</v>
      </c>
      <c r="F112" t="s">
        <v>26</v>
      </c>
      <c r="G112" t="s">
        <v>14</v>
      </c>
      <c r="H112" t="s">
        <v>103</v>
      </c>
      <c r="I112">
        <v>631</v>
      </c>
      <c r="J112">
        <f>Table1[[#This Row],[Price]]*Table1[[#This Row],[Quantity]]</f>
        <v>2202.19</v>
      </c>
    </row>
    <row r="113" spans="1:10" x14ac:dyDescent="0.3">
      <c r="A113">
        <v>10563</v>
      </c>
      <c r="B113" s="1">
        <v>46077.180064305547</v>
      </c>
      <c r="C113" t="s">
        <v>15</v>
      </c>
      <c r="D113">
        <v>2.95</v>
      </c>
      <c r="E113" t="s">
        <v>11</v>
      </c>
      <c r="F113" t="s">
        <v>26</v>
      </c>
      <c r="G113" t="s">
        <v>14</v>
      </c>
      <c r="H113" t="s">
        <v>103</v>
      </c>
      <c r="I113">
        <v>678</v>
      </c>
      <c r="J113">
        <f>Table1[[#This Row],[Price]]*Table1[[#This Row],[Quantity]]</f>
        <v>2000.1000000000001</v>
      </c>
    </row>
    <row r="114" spans="1:10" x14ac:dyDescent="0.3">
      <c r="A114">
        <v>10564</v>
      </c>
      <c r="B114" s="1">
        <v>46077.65916398148</v>
      </c>
      <c r="C114" t="s">
        <v>19</v>
      </c>
      <c r="D114">
        <v>4.99</v>
      </c>
      <c r="E114" t="s">
        <v>11</v>
      </c>
      <c r="F114" t="s">
        <v>26</v>
      </c>
      <c r="G114" t="s">
        <v>14</v>
      </c>
      <c r="H114" t="s">
        <v>103</v>
      </c>
      <c r="I114">
        <v>201</v>
      </c>
      <c r="J114">
        <f>Table1[[#This Row],[Price]]*Table1[[#This Row],[Quantity]]</f>
        <v>1002.99</v>
      </c>
    </row>
    <row r="115" spans="1:10" x14ac:dyDescent="0.3">
      <c r="A115">
        <v>10565</v>
      </c>
      <c r="B115" s="1">
        <v>46078.138263668981</v>
      </c>
      <c r="C115" t="s">
        <v>24</v>
      </c>
      <c r="D115">
        <v>12.99</v>
      </c>
      <c r="E115" t="s">
        <v>11</v>
      </c>
      <c r="F115" t="s">
        <v>26</v>
      </c>
      <c r="G115" t="s">
        <v>14</v>
      </c>
      <c r="H115" t="s">
        <v>103</v>
      </c>
      <c r="I115">
        <v>494</v>
      </c>
      <c r="J115">
        <f>Table1[[#This Row],[Price]]*Table1[[#This Row],[Quantity]]</f>
        <v>6417.06</v>
      </c>
    </row>
    <row r="116" spans="1:10" x14ac:dyDescent="0.3">
      <c r="A116">
        <v>10566</v>
      </c>
      <c r="B116" s="1">
        <v>46078.617363344907</v>
      </c>
      <c r="C116" t="s">
        <v>29</v>
      </c>
      <c r="D116">
        <v>9.9499999999999993</v>
      </c>
      <c r="E116" t="s">
        <v>11</v>
      </c>
      <c r="F116" t="s">
        <v>26</v>
      </c>
      <c r="G116" t="s">
        <v>14</v>
      </c>
      <c r="H116" t="s">
        <v>103</v>
      </c>
      <c r="I116">
        <v>202</v>
      </c>
      <c r="J116">
        <f>Table1[[#This Row],[Price]]*Table1[[#This Row],[Quantity]]</f>
        <v>2009.8999999999999</v>
      </c>
    </row>
    <row r="117" spans="1:10" x14ac:dyDescent="0.3">
      <c r="A117">
        <v>10567</v>
      </c>
      <c r="B117" s="1">
        <v>46079.096463020833</v>
      </c>
      <c r="C117" t="s">
        <v>9</v>
      </c>
      <c r="D117">
        <v>3.49</v>
      </c>
      <c r="E117" t="s">
        <v>11</v>
      </c>
      <c r="F117" t="s">
        <v>26</v>
      </c>
      <c r="G117" t="s">
        <v>14</v>
      </c>
      <c r="H117" t="s">
        <v>103</v>
      </c>
      <c r="I117">
        <v>631</v>
      </c>
      <c r="J117">
        <f>Table1[[#This Row],[Price]]*Table1[[#This Row],[Quantity]]</f>
        <v>2202.19</v>
      </c>
    </row>
    <row r="118" spans="1:10" x14ac:dyDescent="0.3">
      <c r="A118">
        <v>10568</v>
      </c>
      <c r="B118" s="1">
        <v>46079.575562696758</v>
      </c>
      <c r="C118" t="s">
        <v>15</v>
      </c>
      <c r="D118">
        <v>2.95</v>
      </c>
      <c r="E118" t="s">
        <v>11</v>
      </c>
      <c r="F118" t="s">
        <v>26</v>
      </c>
      <c r="G118" t="s">
        <v>14</v>
      </c>
      <c r="H118" t="s">
        <v>103</v>
      </c>
      <c r="I118">
        <v>678</v>
      </c>
      <c r="J118">
        <f>Table1[[#This Row],[Price]]*Table1[[#This Row],[Quantity]]</f>
        <v>2000.1000000000001</v>
      </c>
    </row>
    <row r="119" spans="1:10" x14ac:dyDescent="0.3">
      <c r="A119">
        <v>10569</v>
      </c>
      <c r="B119" s="1">
        <v>46080.05466238426</v>
      </c>
      <c r="C119" t="s">
        <v>19</v>
      </c>
      <c r="D119">
        <v>4.99</v>
      </c>
      <c r="E119" t="s">
        <v>11</v>
      </c>
      <c r="F119" t="s">
        <v>26</v>
      </c>
      <c r="G119" t="s">
        <v>14</v>
      </c>
      <c r="H119" t="s">
        <v>103</v>
      </c>
      <c r="I119">
        <v>201</v>
      </c>
      <c r="J119">
        <f>Table1[[#This Row],[Price]]*Table1[[#This Row],[Quantity]]</f>
        <v>1002.99</v>
      </c>
    </row>
    <row r="120" spans="1:10" x14ac:dyDescent="0.3">
      <c r="A120">
        <v>10570</v>
      </c>
      <c r="B120" s="1">
        <v>46080.533762060193</v>
      </c>
      <c r="C120" t="s">
        <v>24</v>
      </c>
      <c r="D120">
        <v>12.99</v>
      </c>
      <c r="E120" t="s">
        <v>11</v>
      </c>
      <c r="F120" t="s">
        <v>26</v>
      </c>
      <c r="G120" t="s">
        <v>14</v>
      </c>
      <c r="H120" t="s">
        <v>103</v>
      </c>
      <c r="I120">
        <v>494</v>
      </c>
      <c r="J120">
        <f>Table1[[#This Row],[Price]]*Table1[[#This Row],[Quantity]]</f>
        <v>6417.06</v>
      </c>
    </row>
    <row r="121" spans="1:10" x14ac:dyDescent="0.3">
      <c r="A121">
        <v>10571</v>
      </c>
      <c r="B121" s="1">
        <v>46081.012861736112</v>
      </c>
      <c r="C121" t="s">
        <v>29</v>
      </c>
      <c r="D121">
        <v>9.9499999999999993</v>
      </c>
      <c r="E121" t="s">
        <v>11</v>
      </c>
      <c r="F121" t="s">
        <v>26</v>
      </c>
      <c r="G121" t="s">
        <v>14</v>
      </c>
      <c r="H121" t="s">
        <v>103</v>
      </c>
      <c r="I121">
        <v>202</v>
      </c>
      <c r="J121">
        <f>Table1[[#This Row],[Price]]*Table1[[#This Row],[Quantity]]</f>
        <v>2009.8999999999999</v>
      </c>
    </row>
    <row r="122" spans="1:10" x14ac:dyDescent="0.3">
      <c r="A122">
        <v>10572</v>
      </c>
      <c r="B122" s="1">
        <v>46081.491961412037</v>
      </c>
      <c r="C122" t="s">
        <v>9</v>
      </c>
      <c r="D122">
        <v>3.49</v>
      </c>
      <c r="E122" t="s">
        <v>11</v>
      </c>
      <c r="F122" t="s">
        <v>26</v>
      </c>
      <c r="G122" t="s">
        <v>33</v>
      </c>
      <c r="H122" t="s">
        <v>107</v>
      </c>
      <c r="I122">
        <v>574</v>
      </c>
      <c r="J122">
        <f>Table1[[#This Row],[Price]]*Table1[[#This Row],[Quantity]]</f>
        <v>2003.2600000000002</v>
      </c>
    </row>
    <row r="123" spans="1:10" x14ac:dyDescent="0.3">
      <c r="A123">
        <v>10573</v>
      </c>
      <c r="B123" s="1">
        <v>46081.971061087963</v>
      </c>
      <c r="C123" t="s">
        <v>15</v>
      </c>
      <c r="D123">
        <v>2.95</v>
      </c>
      <c r="E123" t="s">
        <v>11</v>
      </c>
      <c r="F123" t="s">
        <v>26</v>
      </c>
      <c r="G123" t="s">
        <v>33</v>
      </c>
      <c r="H123" t="s">
        <v>107</v>
      </c>
      <c r="I123">
        <v>678</v>
      </c>
      <c r="J123">
        <f>Table1[[#This Row],[Price]]*Table1[[#This Row],[Quantity]]</f>
        <v>2000.1000000000001</v>
      </c>
    </row>
    <row r="124" spans="1:10" x14ac:dyDescent="0.3">
      <c r="A124">
        <v>10574</v>
      </c>
      <c r="B124" s="1">
        <v>46082.450160775457</v>
      </c>
      <c r="C124" t="s">
        <v>19</v>
      </c>
      <c r="D124">
        <v>4.99</v>
      </c>
      <c r="E124" t="s">
        <v>11</v>
      </c>
      <c r="F124" t="s">
        <v>26</v>
      </c>
      <c r="G124" t="s">
        <v>33</v>
      </c>
      <c r="H124" t="s">
        <v>107</v>
      </c>
      <c r="I124">
        <v>202</v>
      </c>
      <c r="J124">
        <f>Table1[[#This Row],[Price]]*Table1[[#This Row],[Quantity]]</f>
        <v>1007.98</v>
      </c>
    </row>
    <row r="125" spans="1:10" x14ac:dyDescent="0.3">
      <c r="A125">
        <v>10575</v>
      </c>
      <c r="B125" s="1">
        <v>46082.92926045139</v>
      </c>
      <c r="C125" t="s">
        <v>24</v>
      </c>
      <c r="D125">
        <v>12.99</v>
      </c>
      <c r="E125" t="s">
        <v>11</v>
      </c>
      <c r="F125" t="s">
        <v>26</v>
      </c>
      <c r="G125" t="s">
        <v>33</v>
      </c>
      <c r="H125" t="s">
        <v>107</v>
      </c>
      <c r="I125">
        <v>524</v>
      </c>
      <c r="J125">
        <f>Table1[[#This Row],[Price]]*Table1[[#This Row],[Quantity]]</f>
        <v>6806.76</v>
      </c>
    </row>
    <row r="126" spans="1:10" x14ac:dyDescent="0.3">
      <c r="A126">
        <v>10576</v>
      </c>
      <c r="B126" s="1">
        <v>46083.408360127323</v>
      </c>
      <c r="C126" t="s">
        <v>29</v>
      </c>
      <c r="D126">
        <v>9.9499999999999993</v>
      </c>
      <c r="E126" t="s">
        <v>11</v>
      </c>
      <c r="F126" t="s">
        <v>26</v>
      </c>
      <c r="G126" t="s">
        <v>33</v>
      </c>
      <c r="H126" t="s">
        <v>107</v>
      </c>
      <c r="I126">
        <v>202</v>
      </c>
      <c r="J126">
        <f>Table1[[#This Row],[Price]]*Table1[[#This Row],[Quantity]]</f>
        <v>2009.8999999999999</v>
      </c>
    </row>
    <row r="127" spans="1:10" x14ac:dyDescent="0.3">
      <c r="A127">
        <v>10577</v>
      </c>
      <c r="B127" s="1">
        <v>46083.887459803242</v>
      </c>
      <c r="C127" t="s">
        <v>9</v>
      </c>
      <c r="D127">
        <v>3.49</v>
      </c>
      <c r="E127" t="s">
        <v>11</v>
      </c>
      <c r="F127" t="s">
        <v>26</v>
      </c>
      <c r="G127" t="s">
        <v>33</v>
      </c>
      <c r="H127" t="s">
        <v>107</v>
      </c>
      <c r="I127">
        <v>631</v>
      </c>
      <c r="J127">
        <f>Table1[[#This Row],[Price]]*Table1[[#This Row],[Quantity]]</f>
        <v>2202.19</v>
      </c>
    </row>
    <row r="128" spans="1:10" x14ac:dyDescent="0.3">
      <c r="A128">
        <v>10578</v>
      </c>
      <c r="B128" s="1">
        <v>46084.366559490743</v>
      </c>
      <c r="C128" t="s">
        <v>15</v>
      </c>
      <c r="D128">
        <v>2.95</v>
      </c>
      <c r="E128" t="s">
        <v>11</v>
      </c>
      <c r="F128" t="s">
        <v>26</v>
      </c>
      <c r="G128" t="s">
        <v>33</v>
      </c>
      <c r="H128" t="s">
        <v>107</v>
      </c>
      <c r="I128">
        <v>679</v>
      </c>
      <c r="J128">
        <f>Table1[[#This Row],[Price]]*Table1[[#This Row],[Quantity]]</f>
        <v>2003.0500000000002</v>
      </c>
    </row>
    <row r="129" spans="1:10" x14ac:dyDescent="0.3">
      <c r="A129">
        <v>10579</v>
      </c>
      <c r="B129" s="1">
        <v>46084.845659166669</v>
      </c>
      <c r="C129" t="s">
        <v>19</v>
      </c>
      <c r="D129">
        <v>4.99</v>
      </c>
      <c r="E129" t="s">
        <v>11</v>
      </c>
      <c r="F129" t="s">
        <v>26</v>
      </c>
      <c r="G129" t="s">
        <v>33</v>
      </c>
      <c r="H129" t="s">
        <v>107</v>
      </c>
      <c r="I129">
        <v>201</v>
      </c>
      <c r="J129">
        <f>Table1[[#This Row],[Price]]*Table1[[#This Row],[Quantity]]</f>
        <v>1002.99</v>
      </c>
    </row>
    <row r="130" spans="1:10" x14ac:dyDescent="0.3">
      <c r="A130">
        <v>10580</v>
      </c>
      <c r="B130" s="1">
        <v>46085.324758842587</v>
      </c>
      <c r="C130" t="s">
        <v>24</v>
      </c>
      <c r="D130">
        <v>12.99</v>
      </c>
      <c r="E130" t="s">
        <v>11</v>
      </c>
      <c r="F130" t="s">
        <v>26</v>
      </c>
      <c r="G130" t="s">
        <v>33</v>
      </c>
      <c r="H130" t="s">
        <v>107</v>
      </c>
      <c r="I130">
        <v>524</v>
      </c>
      <c r="J130">
        <f>Table1[[#This Row],[Price]]*Table1[[#This Row],[Quantity]]</f>
        <v>6806.76</v>
      </c>
    </row>
    <row r="131" spans="1:10" x14ac:dyDescent="0.3">
      <c r="A131">
        <v>10581</v>
      </c>
      <c r="B131" s="1">
        <v>46085.80385851852</v>
      </c>
      <c r="C131" t="s">
        <v>29</v>
      </c>
      <c r="D131">
        <v>9.9499999999999993</v>
      </c>
      <c r="E131" t="s">
        <v>11</v>
      </c>
      <c r="F131" t="s">
        <v>26</v>
      </c>
      <c r="G131" t="s">
        <v>33</v>
      </c>
      <c r="H131" t="s">
        <v>107</v>
      </c>
      <c r="I131">
        <v>202</v>
      </c>
      <c r="J131">
        <f>Table1[[#This Row],[Price]]*Table1[[#This Row],[Quantity]]</f>
        <v>2009.8999999999999</v>
      </c>
    </row>
    <row r="132" spans="1:10" x14ac:dyDescent="0.3">
      <c r="A132">
        <v>10582</v>
      </c>
      <c r="B132" s="1">
        <v>46086.282958194453</v>
      </c>
      <c r="C132" t="s">
        <v>9</v>
      </c>
      <c r="D132">
        <v>3.49</v>
      </c>
      <c r="E132" t="s">
        <v>11</v>
      </c>
      <c r="F132" t="s">
        <v>26</v>
      </c>
      <c r="G132" t="s">
        <v>14</v>
      </c>
      <c r="H132" t="s">
        <v>103</v>
      </c>
      <c r="I132">
        <v>631</v>
      </c>
      <c r="J132">
        <f>Table1[[#This Row],[Price]]*Table1[[#This Row],[Quantity]]</f>
        <v>2202.19</v>
      </c>
    </row>
    <row r="133" spans="1:10" x14ac:dyDescent="0.3">
      <c r="A133">
        <v>10583</v>
      </c>
      <c r="B133" s="1">
        <v>46086.762057881948</v>
      </c>
      <c r="C133" t="s">
        <v>15</v>
      </c>
      <c r="D133">
        <v>2.95</v>
      </c>
      <c r="E133" t="s">
        <v>11</v>
      </c>
      <c r="F133" t="s">
        <v>26</v>
      </c>
      <c r="G133" t="s">
        <v>14</v>
      </c>
      <c r="H133" t="s">
        <v>103</v>
      </c>
      <c r="I133">
        <v>679</v>
      </c>
      <c r="J133">
        <f>Table1[[#This Row],[Price]]*Table1[[#This Row],[Quantity]]</f>
        <v>2003.0500000000002</v>
      </c>
    </row>
    <row r="134" spans="1:10" x14ac:dyDescent="0.3">
      <c r="A134">
        <v>10584</v>
      </c>
      <c r="B134" s="1">
        <v>46087.241157557874</v>
      </c>
      <c r="C134" t="s">
        <v>19</v>
      </c>
      <c r="D134">
        <v>4.99</v>
      </c>
      <c r="E134" t="s">
        <v>11</v>
      </c>
      <c r="F134" t="s">
        <v>26</v>
      </c>
      <c r="G134" t="s">
        <v>14</v>
      </c>
      <c r="H134" t="s">
        <v>103</v>
      </c>
      <c r="I134">
        <v>201</v>
      </c>
      <c r="J134">
        <f>Table1[[#This Row],[Price]]*Table1[[#This Row],[Quantity]]</f>
        <v>1002.99</v>
      </c>
    </row>
    <row r="135" spans="1:10" x14ac:dyDescent="0.3">
      <c r="A135">
        <v>10585</v>
      </c>
      <c r="B135" s="1">
        <v>46087.720257233799</v>
      </c>
      <c r="C135" t="s">
        <v>24</v>
      </c>
      <c r="D135">
        <v>12.99</v>
      </c>
      <c r="E135" t="s">
        <v>11</v>
      </c>
      <c r="F135" t="s">
        <v>26</v>
      </c>
      <c r="G135" t="s">
        <v>14</v>
      </c>
      <c r="H135" t="s">
        <v>103</v>
      </c>
      <c r="I135">
        <v>540</v>
      </c>
      <c r="J135">
        <f>Table1[[#This Row],[Price]]*Table1[[#This Row],[Quantity]]</f>
        <v>7014.6</v>
      </c>
    </row>
    <row r="136" spans="1:10" x14ac:dyDescent="0.3">
      <c r="A136">
        <v>10586</v>
      </c>
      <c r="B136" s="1">
        <v>46088.199356909718</v>
      </c>
      <c r="C136" t="s">
        <v>29</v>
      </c>
      <c r="D136">
        <v>9.9499999999999993</v>
      </c>
      <c r="E136" t="s">
        <v>11</v>
      </c>
      <c r="F136" t="s">
        <v>26</v>
      </c>
      <c r="G136" t="s">
        <v>14</v>
      </c>
      <c r="H136" t="s">
        <v>103</v>
      </c>
      <c r="I136">
        <v>202</v>
      </c>
      <c r="J136">
        <f>Table1[[#This Row],[Price]]*Table1[[#This Row],[Quantity]]</f>
        <v>2009.8999999999999</v>
      </c>
    </row>
    <row r="137" spans="1:10" x14ac:dyDescent="0.3">
      <c r="A137">
        <v>10537</v>
      </c>
      <c r="B137" s="1">
        <v>46088.678456597219</v>
      </c>
      <c r="C137" t="s">
        <v>9</v>
      </c>
      <c r="D137">
        <v>3.49</v>
      </c>
      <c r="E137" t="s">
        <v>57</v>
      </c>
      <c r="F137" t="s">
        <v>26</v>
      </c>
      <c r="G137" t="s">
        <v>18</v>
      </c>
      <c r="H137" t="s">
        <v>104</v>
      </c>
      <c r="I137">
        <v>631</v>
      </c>
      <c r="J137">
        <f>Table1[[#This Row],[Price]]*Table1[[#This Row],[Quantity]]</f>
        <v>2202.19</v>
      </c>
    </row>
    <row r="138" spans="1:10" x14ac:dyDescent="0.3">
      <c r="A138">
        <v>10538</v>
      </c>
      <c r="B138" s="1">
        <v>46089.157556273152</v>
      </c>
      <c r="C138" t="s">
        <v>15</v>
      </c>
      <c r="D138">
        <v>2.95</v>
      </c>
      <c r="E138" t="s">
        <v>57</v>
      </c>
      <c r="F138" t="s">
        <v>26</v>
      </c>
      <c r="G138" t="s">
        <v>18</v>
      </c>
      <c r="H138" t="s">
        <v>104</v>
      </c>
      <c r="I138">
        <v>747</v>
      </c>
      <c r="J138">
        <f>Table1[[#This Row],[Price]]*Table1[[#This Row],[Quantity]]</f>
        <v>2203.65</v>
      </c>
    </row>
    <row r="139" spans="1:10" x14ac:dyDescent="0.3">
      <c r="A139">
        <v>10539</v>
      </c>
      <c r="B139" s="1">
        <v>46089.636655949071</v>
      </c>
      <c r="C139" t="s">
        <v>19</v>
      </c>
      <c r="D139">
        <v>4.99</v>
      </c>
      <c r="E139" t="s">
        <v>57</v>
      </c>
      <c r="F139" t="s">
        <v>26</v>
      </c>
      <c r="G139" t="s">
        <v>18</v>
      </c>
      <c r="H139" t="s">
        <v>104</v>
      </c>
      <c r="I139">
        <v>201</v>
      </c>
      <c r="J139">
        <f>Table1[[#This Row],[Price]]*Table1[[#This Row],[Quantity]]</f>
        <v>1002.99</v>
      </c>
    </row>
    <row r="140" spans="1:10" x14ac:dyDescent="0.3">
      <c r="A140">
        <v>10590</v>
      </c>
      <c r="B140" s="1">
        <v>46090.115755624996</v>
      </c>
      <c r="C140" t="s">
        <v>24</v>
      </c>
      <c r="D140">
        <v>12.99</v>
      </c>
      <c r="E140" t="s">
        <v>11</v>
      </c>
      <c r="F140" t="s">
        <v>26</v>
      </c>
      <c r="G140" t="s">
        <v>14</v>
      </c>
      <c r="H140" t="s">
        <v>103</v>
      </c>
      <c r="I140">
        <v>555</v>
      </c>
      <c r="J140">
        <f>Table1[[#This Row],[Price]]*Table1[[#This Row],[Quantity]]</f>
        <v>7209.45</v>
      </c>
    </row>
    <row r="141" spans="1:10" x14ac:dyDescent="0.3">
      <c r="A141">
        <v>10591</v>
      </c>
      <c r="B141" s="1">
        <v>46090.594855300929</v>
      </c>
      <c r="C141" t="s">
        <v>29</v>
      </c>
      <c r="D141">
        <v>9.9499999999999993</v>
      </c>
      <c r="E141" t="s">
        <v>11</v>
      </c>
      <c r="F141" t="s">
        <v>26</v>
      </c>
      <c r="G141" t="s">
        <v>14</v>
      </c>
      <c r="H141" t="s">
        <v>103</v>
      </c>
      <c r="I141">
        <v>202</v>
      </c>
      <c r="J141">
        <f>Table1[[#This Row],[Price]]*Table1[[#This Row],[Quantity]]</f>
        <v>2009.8999999999999</v>
      </c>
    </row>
    <row r="142" spans="1:10" x14ac:dyDescent="0.3">
      <c r="A142">
        <v>10592</v>
      </c>
      <c r="B142" s="1">
        <v>46091.073954988417</v>
      </c>
      <c r="C142" t="s">
        <v>9</v>
      </c>
      <c r="D142">
        <v>3.49</v>
      </c>
      <c r="E142" t="s">
        <v>11</v>
      </c>
      <c r="F142" t="s">
        <v>26</v>
      </c>
      <c r="G142" t="s">
        <v>14</v>
      </c>
      <c r="H142" t="s">
        <v>103</v>
      </c>
      <c r="I142">
        <v>574</v>
      </c>
      <c r="J142">
        <f>Table1[[#This Row],[Price]]*Table1[[#This Row],[Quantity]]</f>
        <v>2003.2600000000002</v>
      </c>
    </row>
    <row r="143" spans="1:10" x14ac:dyDescent="0.3">
      <c r="A143">
        <v>10593</v>
      </c>
      <c r="B143" s="1">
        <v>46091.553054664349</v>
      </c>
      <c r="C143" t="s">
        <v>15</v>
      </c>
      <c r="D143">
        <v>2.95</v>
      </c>
      <c r="E143" t="s">
        <v>11</v>
      </c>
      <c r="F143" t="s">
        <v>26</v>
      </c>
      <c r="G143" t="s">
        <v>14</v>
      </c>
      <c r="H143" t="s">
        <v>103</v>
      </c>
      <c r="I143">
        <v>678</v>
      </c>
      <c r="J143">
        <f>Table1[[#This Row],[Price]]*Table1[[#This Row],[Quantity]]</f>
        <v>2000.1000000000001</v>
      </c>
    </row>
    <row r="144" spans="1:10" x14ac:dyDescent="0.3">
      <c r="A144">
        <v>10594</v>
      </c>
      <c r="B144" s="1">
        <v>46092.032154340282</v>
      </c>
      <c r="C144" t="s">
        <v>19</v>
      </c>
      <c r="D144">
        <v>4.99</v>
      </c>
      <c r="E144" t="s">
        <v>11</v>
      </c>
      <c r="F144" t="s">
        <v>26</v>
      </c>
      <c r="G144" t="s">
        <v>14</v>
      </c>
      <c r="H144" t="s">
        <v>103</v>
      </c>
      <c r="I144">
        <v>201</v>
      </c>
      <c r="J144">
        <f>Table1[[#This Row],[Price]]*Table1[[#This Row],[Quantity]]</f>
        <v>1002.99</v>
      </c>
    </row>
    <row r="145" spans="1:10" x14ac:dyDescent="0.3">
      <c r="A145">
        <v>10595</v>
      </c>
      <c r="B145" s="1">
        <v>46092.511254016201</v>
      </c>
      <c r="C145" t="s">
        <v>24</v>
      </c>
      <c r="D145">
        <v>12.99</v>
      </c>
      <c r="E145" t="s">
        <v>11</v>
      </c>
      <c r="F145" t="s">
        <v>26</v>
      </c>
      <c r="G145" t="s">
        <v>14</v>
      </c>
      <c r="H145" t="s">
        <v>103</v>
      </c>
      <c r="I145">
        <v>539</v>
      </c>
      <c r="J145">
        <f>Table1[[#This Row],[Price]]*Table1[[#This Row],[Quantity]]</f>
        <v>7001.61</v>
      </c>
    </row>
    <row r="146" spans="1:10" x14ac:dyDescent="0.3">
      <c r="A146">
        <v>10596</v>
      </c>
      <c r="B146" s="1">
        <v>46092.990353692127</v>
      </c>
      <c r="C146" t="s">
        <v>29</v>
      </c>
      <c r="D146">
        <v>9.9499999999999993</v>
      </c>
      <c r="E146" t="s">
        <v>11</v>
      </c>
      <c r="F146" t="s">
        <v>26</v>
      </c>
      <c r="G146" t="s">
        <v>14</v>
      </c>
      <c r="H146" t="s">
        <v>103</v>
      </c>
      <c r="I146">
        <v>202</v>
      </c>
      <c r="J146">
        <f>Table1[[#This Row],[Price]]*Table1[[#This Row],[Quantity]]</f>
        <v>2009.8999999999999</v>
      </c>
    </row>
    <row r="147" spans="1:10" x14ac:dyDescent="0.3">
      <c r="A147">
        <v>10597</v>
      </c>
      <c r="B147" s="1">
        <v>46093.469453379628</v>
      </c>
      <c r="C147" t="s">
        <v>9</v>
      </c>
      <c r="D147">
        <v>3.49</v>
      </c>
      <c r="E147" t="s">
        <v>11</v>
      </c>
      <c r="F147" t="s">
        <v>26</v>
      </c>
      <c r="G147" t="s">
        <v>14</v>
      </c>
      <c r="H147" t="s">
        <v>103</v>
      </c>
      <c r="I147">
        <v>574</v>
      </c>
      <c r="J147">
        <f>Table1[[#This Row],[Price]]*Table1[[#This Row],[Quantity]]</f>
        <v>2003.2600000000002</v>
      </c>
    </row>
    <row r="148" spans="1:10" x14ac:dyDescent="0.3">
      <c r="A148">
        <v>10598</v>
      </c>
      <c r="B148" s="1">
        <v>46093.948553055547</v>
      </c>
      <c r="C148" t="s">
        <v>15</v>
      </c>
      <c r="D148">
        <v>2.95</v>
      </c>
      <c r="E148" t="s">
        <v>11</v>
      </c>
      <c r="F148" t="s">
        <v>26</v>
      </c>
      <c r="G148" t="s">
        <v>14</v>
      </c>
      <c r="H148" t="s">
        <v>103</v>
      </c>
      <c r="I148">
        <v>679</v>
      </c>
      <c r="J148">
        <f>Table1[[#This Row],[Price]]*Table1[[#This Row],[Quantity]]</f>
        <v>2003.0500000000002</v>
      </c>
    </row>
    <row r="149" spans="1:10" x14ac:dyDescent="0.3">
      <c r="A149">
        <v>10599</v>
      </c>
      <c r="B149" s="1">
        <v>46094.42765273148</v>
      </c>
      <c r="C149" t="s">
        <v>19</v>
      </c>
      <c r="D149">
        <v>4.99</v>
      </c>
      <c r="E149" t="s">
        <v>11</v>
      </c>
      <c r="F149" t="s">
        <v>26</v>
      </c>
      <c r="G149" t="s">
        <v>14</v>
      </c>
      <c r="H149" t="s">
        <v>103</v>
      </c>
      <c r="I149">
        <v>202</v>
      </c>
      <c r="J149">
        <f>Table1[[#This Row],[Price]]*Table1[[#This Row],[Quantity]]</f>
        <v>1007.98</v>
      </c>
    </row>
    <row r="150" spans="1:10" x14ac:dyDescent="0.3">
      <c r="A150">
        <v>10600</v>
      </c>
      <c r="B150" s="1">
        <v>46094.906752407413</v>
      </c>
      <c r="C150" t="s">
        <v>24</v>
      </c>
      <c r="D150">
        <v>12.99</v>
      </c>
      <c r="E150" t="s">
        <v>11</v>
      </c>
      <c r="F150" t="s">
        <v>26</v>
      </c>
      <c r="G150" t="s">
        <v>14</v>
      </c>
      <c r="H150" t="s">
        <v>103</v>
      </c>
      <c r="I150">
        <v>524</v>
      </c>
      <c r="J150">
        <f>Table1[[#This Row],[Price]]*Table1[[#This Row],[Quantity]]</f>
        <v>6806.76</v>
      </c>
    </row>
    <row r="151" spans="1:10" x14ac:dyDescent="0.3">
      <c r="A151">
        <v>10601</v>
      </c>
      <c r="B151" s="1">
        <v>46095.385852094907</v>
      </c>
      <c r="C151" t="s">
        <v>29</v>
      </c>
      <c r="D151">
        <v>9.9499999999999993</v>
      </c>
      <c r="E151" t="s">
        <v>11</v>
      </c>
      <c r="F151" t="s">
        <v>26</v>
      </c>
      <c r="G151" t="s">
        <v>14</v>
      </c>
      <c r="H151" t="s">
        <v>103</v>
      </c>
      <c r="I151">
        <v>202</v>
      </c>
      <c r="J151">
        <f>Table1[[#This Row],[Price]]*Table1[[#This Row],[Quantity]]</f>
        <v>2009.8999999999999</v>
      </c>
    </row>
    <row r="152" spans="1:10" x14ac:dyDescent="0.3">
      <c r="A152">
        <v>10602</v>
      </c>
      <c r="B152" s="1">
        <v>46095.864951770833</v>
      </c>
      <c r="C152" t="s">
        <v>9</v>
      </c>
      <c r="D152">
        <v>3.49</v>
      </c>
      <c r="E152" t="s">
        <v>11</v>
      </c>
      <c r="F152" t="s">
        <v>58</v>
      </c>
      <c r="G152" t="s">
        <v>14</v>
      </c>
      <c r="H152" t="s">
        <v>103</v>
      </c>
      <c r="I152">
        <v>631</v>
      </c>
      <c r="J152">
        <f>Table1[[#This Row],[Price]]*Table1[[#This Row],[Quantity]]</f>
        <v>2202.19</v>
      </c>
    </row>
    <row r="153" spans="1:10" x14ac:dyDescent="0.3">
      <c r="A153">
        <v>10603</v>
      </c>
      <c r="B153" s="1">
        <v>46096.344051446758</v>
      </c>
      <c r="C153" t="s">
        <v>15</v>
      </c>
      <c r="D153">
        <v>2.95</v>
      </c>
      <c r="E153" t="s">
        <v>11</v>
      </c>
      <c r="F153" t="s">
        <v>58</v>
      </c>
      <c r="G153" t="s">
        <v>14</v>
      </c>
      <c r="H153" t="s">
        <v>103</v>
      </c>
      <c r="I153">
        <v>679</v>
      </c>
      <c r="J153">
        <f>Table1[[#This Row],[Price]]*Table1[[#This Row],[Quantity]]</f>
        <v>2003.0500000000002</v>
      </c>
    </row>
    <row r="154" spans="1:10" x14ac:dyDescent="0.3">
      <c r="A154">
        <v>10604</v>
      </c>
      <c r="B154" s="1">
        <v>46096.823151122677</v>
      </c>
      <c r="C154" t="s">
        <v>19</v>
      </c>
      <c r="D154">
        <v>4.99</v>
      </c>
      <c r="E154" t="s">
        <v>11</v>
      </c>
      <c r="F154" t="s">
        <v>58</v>
      </c>
      <c r="G154" t="s">
        <v>14</v>
      </c>
      <c r="H154" t="s">
        <v>103</v>
      </c>
      <c r="I154">
        <v>201</v>
      </c>
      <c r="J154">
        <f>Table1[[#This Row],[Price]]*Table1[[#This Row],[Quantity]]</f>
        <v>1002.99</v>
      </c>
    </row>
    <row r="155" spans="1:10" x14ac:dyDescent="0.3">
      <c r="A155">
        <v>10605</v>
      </c>
      <c r="B155" s="1">
        <v>46097.30225079861</v>
      </c>
      <c r="C155" t="s">
        <v>24</v>
      </c>
      <c r="D155">
        <v>12.99</v>
      </c>
      <c r="E155" t="s">
        <v>11</v>
      </c>
      <c r="F155" t="s">
        <v>58</v>
      </c>
      <c r="G155" t="s">
        <v>14</v>
      </c>
      <c r="H155" t="s">
        <v>103</v>
      </c>
      <c r="I155">
        <v>540</v>
      </c>
      <c r="J155">
        <f>Table1[[#This Row],[Price]]*Table1[[#This Row],[Quantity]]</f>
        <v>7014.6</v>
      </c>
    </row>
    <row r="156" spans="1:10" x14ac:dyDescent="0.3">
      <c r="A156">
        <v>10606</v>
      </c>
      <c r="B156" s="1">
        <v>46097.781350486111</v>
      </c>
      <c r="C156" t="s">
        <v>29</v>
      </c>
      <c r="D156">
        <v>9.9499999999999993</v>
      </c>
      <c r="E156" t="s">
        <v>11</v>
      </c>
      <c r="F156" t="s">
        <v>58</v>
      </c>
      <c r="G156" t="s">
        <v>14</v>
      </c>
      <c r="H156" t="s">
        <v>103</v>
      </c>
      <c r="I156">
        <v>202</v>
      </c>
      <c r="J156">
        <f>Table1[[#This Row],[Price]]*Table1[[#This Row],[Quantity]]</f>
        <v>2009.8999999999999</v>
      </c>
    </row>
    <row r="157" spans="1:10" x14ac:dyDescent="0.3">
      <c r="A157">
        <v>10607</v>
      </c>
      <c r="B157" s="1">
        <v>46098.260450162037</v>
      </c>
      <c r="C157" t="s">
        <v>9</v>
      </c>
      <c r="D157">
        <v>3.49</v>
      </c>
      <c r="E157" t="s">
        <v>11</v>
      </c>
      <c r="F157" t="s">
        <v>58</v>
      </c>
      <c r="G157" t="s">
        <v>14</v>
      </c>
      <c r="H157" t="s">
        <v>103</v>
      </c>
      <c r="I157">
        <v>631</v>
      </c>
      <c r="J157">
        <f>Table1[[#This Row],[Price]]*Table1[[#This Row],[Quantity]]</f>
        <v>2202.19</v>
      </c>
    </row>
    <row r="158" spans="1:10" x14ac:dyDescent="0.3">
      <c r="A158">
        <v>10608</v>
      </c>
      <c r="B158" s="1">
        <v>46098.739549837963</v>
      </c>
      <c r="C158" t="s">
        <v>15</v>
      </c>
      <c r="D158">
        <v>2.95</v>
      </c>
      <c r="E158" t="s">
        <v>11</v>
      </c>
      <c r="F158" t="s">
        <v>12</v>
      </c>
      <c r="G158" t="s">
        <v>14</v>
      </c>
      <c r="H158" t="s">
        <v>103</v>
      </c>
      <c r="I158">
        <v>679</v>
      </c>
      <c r="J158">
        <f>Table1[[#This Row],[Price]]*Table1[[#This Row],[Quantity]]</f>
        <v>2003.0500000000002</v>
      </c>
    </row>
    <row r="159" spans="1:10" x14ac:dyDescent="0.3">
      <c r="A159">
        <v>10609</v>
      </c>
      <c r="B159" s="1">
        <v>46099.218649513889</v>
      </c>
      <c r="C159" t="s">
        <v>19</v>
      </c>
      <c r="D159">
        <v>4.99</v>
      </c>
      <c r="E159" t="s">
        <v>11</v>
      </c>
      <c r="F159" t="s">
        <v>12</v>
      </c>
      <c r="G159" t="s">
        <v>14</v>
      </c>
      <c r="H159" t="s">
        <v>103</v>
      </c>
      <c r="I159">
        <v>202</v>
      </c>
      <c r="J159">
        <f>Table1[[#This Row],[Price]]*Table1[[#This Row],[Quantity]]</f>
        <v>1007.98</v>
      </c>
    </row>
    <row r="160" spans="1:10" x14ac:dyDescent="0.3">
      <c r="A160">
        <v>10610</v>
      </c>
      <c r="B160" s="1">
        <v>46099.69774920139</v>
      </c>
      <c r="C160" t="s">
        <v>24</v>
      </c>
      <c r="D160">
        <v>12.99</v>
      </c>
      <c r="E160" t="s">
        <v>11</v>
      </c>
      <c r="F160" t="s">
        <v>12</v>
      </c>
      <c r="G160" t="s">
        <v>14</v>
      </c>
      <c r="H160" t="s">
        <v>103</v>
      </c>
      <c r="I160">
        <v>571</v>
      </c>
      <c r="J160">
        <f>Table1[[#This Row],[Price]]*Table1[[#This Row],[Quantity]]</f>
        <v>7417.29</v>
      </c>
    </row>
    <row r="161" spans="1:10" x14ac:dyDescent="0.3">
      <c r="A161">
        <v>10611</v>
      </c>
      <c r="B161" s="1">
        <v>46100.176848877323</v>
      </c>
      <c r="C161" t="s">
        <v>29</v>
      </c>
      <c r="D161">
        <v>9.9499999999999993</v>
      </c>
      <c r="E161" t="s">
        <v>11</v>
      </c>
      <c r="F161" t="s">
        <v>12</v>
      </c>
      <c r="G161" t="s">
        <v>14</v>
      </c>
      <c r="H161" t="s">
        <v>103</v>
      </c>
      <c r="I161">
        <v>202</v>
      </c>
      <c r="J161">
        <f>Table1[[#This Row],[Price]]*Table1[[#This Row],[Quantity]]</f>
        <v>2009.8999999999999</v>
      </c>
    </row>
    <row r="162" spans="1:10" x14ac:dyDescent="0.3">
      <c r="A162">
        <v>10612</v>
      </c>
      <c r="B162" s="1">
        <v>46100.655948553242</v>
      </c>
      <c r="C162" t="s">
        <v>9</v>
      </c>
      <c r="D162">
        <v>3.49</v>
      </c>
      <c r="E162" t="s">
        <v>11</v>
      </c>
      <c r="F162" t="s">
        <v>12</v>
      </c>
      <c r="G162" t="s">
        <v>14</v>
      </c>
      <c r="H162" t="s">
        <v>103</v>
      </c>
      <c r="I162">
        <v>631</v>
      </c>
      <c r="J162">
        <f>Table1[[#This Row],[Price]]*Table1[[#This Row],[Quantity]]</f>
        <v>2202.19</v>
      </c>
    </row>
    <row r="163" spans="1:10" x14ac:dyDescent="0.3">
      <c r="A163">
        <v>10613</v>
      </c>
      <c r="B163" s="1">
        <v>46101.135048229167</v>
      </c>
      <c r="C163" t="s">
        <v>15</v>
      </c>
      <c r="D163">
        <v>2.95</v>
      </c>
      <c r="E163" t="s">
        <v>11</v>
      </c>
      <c r="F163" t="s">
        <v>12</v>
      </c>
      <c r="G163" t="s">
        <v>14</v>
      </c>
      <c r="H163" t="s">
        <v>103</v>
      </c>
      <c r="I163">
        <v>679</v>
      </c>
      <c r="J163">
        <f>Table1[[#This Row],[Price]]*Table1[[#This Row],[Quantity]]</f>
        <v>2003.0500000000002</v>
      </c>
    </row>
    <row r="164" spans="1:10" x14ac:dyDescent="0.3">
      <c r="A164">
        <v>10614</v>
      </c>
      <c r="B164" s="1">
        <v>46101.614147905093</v>
      </c>
      <c r="C164" t="s">
        <v>19</v>
      </c>
      <c r="D164">
        <v>4.99</v>
      </c>
      <c r="E164" t="s">
        <v>11</v>
      </c>
      <c r="F164" t="s">
        <v>12</v>
      </c>
      <c r="G164" t="s">
        <v>14</v>
      </c>
      <c r="H164" t="s">
        <v>103</v>
      </c>
      <c r="I164">
        <v>201</v>
      </c>
      <c r="J164">
        <f>Table1[[#This Row],[Price]]*Table1[[#This Row],[Quantity]]</f>
        <v>1002.99</v>
      </c>
    </row>
    <row r="165" spans="1:10" x14ac:dyDescent="0.3">
      <c r="A165">
        <v>10615</v>
      </c>
      <c r="B165" s="1">
        <v>46102.093247592587</v>
      </c>
      <c r="C165" t="s">
        <v>24</v>
      </c>
      <c r="D165">
        <v>12.99</v>
      </c>
      <c r="E165" t="s">
        <v>11</v>
      </c>
      <c r="F165" t="s">
        <v>12</v>
      </c>
      <c r="G165" t="s">
        <v>14</v>
      </c>
      <c r="H165" t="s">
        <v>103</v>
      </c>
      <c r="I165">
        <v>571</v>
      </c>
      <c r="J165">
        <f>Table1[[#This Row],[Price]]*Table1[[#This Row],[Quantity]]</f>
        <v>7417.29</v>
      </c>
    </row>
    <row r="166" spans="1:10" x14ac:dyDescent="0.3">
      <c r="A166">
        <v>10616</v>
      </c>
      <c r="B166" s="1">
        <v>46102.57234726852</v>
      </c>
      <c r="C166" t="s">
        <v>29</v>
      </c>
      <c r="D166">
        <v>9.9499999999999993</v>
      </c>
      <c r="E166" t="s">
        <v>11</v>
      </c>
      <c r="F166" t="s">
        <v>12</v>
      </c>
      <c r="G166" t="s">
        <v>14</v>
      </c>
      <c r="H166" t="s">
        <v>103</v>
      </c>
      <c r="I166">
        <v>202</v>
      </c>
      <c r="J166">
        <f>Table1[[#This Row],[Price]]*Table1[[#This Row],[Quantity]]</f>
        <v>2009.8999999999999</v>
      </c>
    </row>
    <row r="167" spans="1:10" x14ac:dyDescent="0.3">
      <c r="A167">
        <v>10617</v>
      </c>
      <c r="B167" s="1">
        <v>46103.051446944453</v>
      </c>
      <c r="C167" t="s">
        <v>9</v>
      </c>
      <c r="D167">
        <v>3.49</v>
      </c>
      <c r="E167" t="s">
        <v>11</v>
      </c>
      <c r="F167" t="s">
        <v>12</v>
      </c>
      <c r="G167" t="s">
        <v>14</v>
      </c>
      <c r="H167" t="s">
        <v>103</v>
      </c>
      <c r="I167">
        <v>631</v>
      </c>
      <c r="J167">
        <f>Table1[[#This Row],[Price]]*Table1[[#This Row],[Quantity]]</f>
        <v>2202.19</v>
      </c>
    </row>
    <row r="168" spans="1:10" x14ac:dyDescent="0.3">
      <c r="A168">
        <v>10618</v>
      </c>
      <c r="B168" s="1">
        <v>46103.530546620372</v>
      </c>
      <c r="C168" t="s">
        <v>15</v>
      </c>
      <c r="D168">
        <v>2.95</v>
      </c>
      <c r="E168" t="s">
        <v>11</v>
      </c>
      <c r="F168" t="s">
        <v>12</v>
      </c>
      <c r="G168" t="s">
        <v>14</v>
      </c>
      <c r="H168" t="s">
        <v>103</v>
      </c>
      <c r="I168">
        <v>679</v>
      </c>
      <c r="J168">
        <f>Table1[[#This Row],[Price]]*Table1[[#This Row],[Quantity]]</f>
        <v>2003.0500000000002</v>
      </c>
    </row>
    <row r="169" spans="1:10" x14ac:dyDescent="0.3">
      <c r="A169">
        <v>10619</v>
      </c>
      <c r="B169" s="1">
        <v>46104.009646307873</v>
      </c>
      <c r="C169" t="s">
        <v>19</v>
      </c>
      <c r="D169">
        <v>4.99</v>
      </c>
      <c r="E169" t="s">
        <v>11</v>
      </c>
      <c r="F169" t="s">
        <v>12</v>
      </c>
      <c r="G169" t="s">
        <v>14</v>
      </c>
      <c r="H169" t="s">
        <v>103</v>
      </c>
      <c r="I169">
        <v>201</v>
      </c>
      <c r="J169">
        <f>Table1[[#This Row],[Price]]*Table1[[#This Row],[Quantity]]</f>
        <v>1002.99</v>
      </c>
    </row>
    <row r="170" spans="1:10" x14ac:dyDescent="0.3">
      <c r="A170">
        <v>10620</v>
      </c>
      <c r="B170" s="1">
        <v>46104.488745983799</v>
      </c>
      <c r="C170" t="s">
        <v>24</v>
      </c>
      <c r="D170">
        <v>12.99</v>
      </c>
      <c r="E170" t="s">
        <v>11</v>
      </c>
      <c r="F170" t="s">
        <v>12</v>
      </c>
      <c r="G170" t="s">
        <v>14</v>
      </c>
      <c r="H170" t="s">
        <v>103</v>
      </c>
      <c r="I170">
        <v>586</v>
      </c>
      <c r="J170">
        <f>Table1[[#This Row],[Price]]*Table1[[#This Row],[Quantity]]</f>
        <v>7612.14</v>
      </c>
    </row>
    <row r="171" spans="1:10" x14ac:dyDescent="0.3">
      <c r="A171">
        <v>10621</v>
      </c>
      <c r="B171" s="1">
        <v>46104.967845659718</v>
      </c>
      <c r="C171" t="s">
        <v>29</v>
      </c>
      <c r="D171">
        <v>9.9499999999999993</v>
      </c>
      <c r="E171" t="s">
        <v>11</v>
      </c>
      <c r="F171" t="s">
        <v>12</v>
      </c>
      <c r="G171" t="s">
        <v>14</v>
      </c>
      <c r="H171" t="s">
        <v>103</v>
      </c>
      <c r="I171">
        <v>202</v>
      </c>
      <c r="J171">
        <f>Table1[[#This Row],[Price]]*Table1[[#This Row],[Quantity]]</f>
        <v>2009.8999999999999</v>
      </c>
    </row>
    <row r="172" spans="1:10" x14ac:dyDescent="0.3">
      <c r="A172">
        <v>10622</v>
      </c>
      <c r="B172" s="1">
        <v>46105.446945335651</v>
      </c>
      <c r="C172" t="s">
        <v>9</v>
      </c>
      <c r="D172">
        <v>3.49</v>
      </c>
      <c r="E172" t="s">
        <v>11</v>
      </c>
      <c r="F172" t="s">
        <v>12</v>
      </c>
      <c r="G172" t="s">
        <v>14</v>
      </c>
      <c r="H172" t="s">
        <v>103</v>
      </c>
      <c r="I172">
        <v>632</v>
      </c>
      <c r="J172">
        <f>Table1[[#This Row],[Price]]*Table1[[#This Row],[Quantity]]</f>
        <v>2205.6800000000003</v>
      </c>
    </row>
    <row r="173" spans="1:10" x14ac:dyDescent="0.3">
      <c r="A173">
        <v>10623</v>
      </c>
      <c r="B173" s="1">
        <v>46105.926045011583</v>
      </c>
      <c r="C173" t="s">
        <v>15</v>
      </c>
      <c r="D173">
        <v>2.95</v>
      </c>
      <c r="E173" t="s">
        <v>11</v>
      </c>
      <c r="F173" t="s">
        <v>12</v>
      </c>
      <c r="G173" t="s">
        <v>14</v>
      </c>
      <c r="H173" t="s">
        <v>103</v>
      </c>
      <c r="I173">
        <v>746</v>
      </c>
      <c r="J173">
        <f>Table1[[#This Row],[Price]]*Table1[[#This Row],[Quantity]]</f>
        <v>2200.7000000000003</v>
      </c>
    </row>
    <row r="174" spans="1:10" x14ac:dyDescent="0.3">
      <c r="A174">
        <v>10624</v>
      </c>
      <c r="B174" s="1">
        <v>46106.405144699071</v>
      </c>
      <c r="C174" t="s">
        <v>19</v>
      </c>
      <c r="D174">
        <v>4.99</v>
      </c>
      <c r="E174" t="s">
        <v>11</v>
      </c>
      <c r="F174" t="s">
        <v>12</v>
      </c>
      <c r="G174" t="s">
        <v>14</v>
      </c>
      <c r="H174" t="s">
        <v>103</v>
      </c>
      <c r="I174">
        <v>201</v>
      </c>
      <c r="J174">
        <f>Table1[[#This Row],[Price]]*Table1[[#This Row],[Quantity]]</f>
        <v>1002.99</v>
      </c>
    </row>
    <row r="175" spans="1:10" x14ac:dyDescent="0.3">
      <c r="A175">
        <v>10625</v>
      </c>
      <c r="B175" s="1">
        <v>46106.884244375004</v>
      </c>
      <c r="C175" t="s">
        <v>24</v>
      </c>
      <c r="D175">
        <v>12.99</v>
      </c>
      <c r="E175" t="s">
        <v>11</v>
      </c>
      <c r="F175" t="s">
        <v>12</v>
      </c>
      <c r="G175" t="s">
        <v>14</v>
      </c>
      <c r="H175" t="s">
        <v>103</v>
      </c>
      <c r="I175">
        <v>571</v>
      </c>
      <c r="J175">
        <f>Table1[[#This Row],[Price]]*Table1[[#This Row],[Quantity]]</f>
        <v>7417.29</v>
      </c>
    </row>
    <row r="176" spans="1:10" x14ac:dyDescent="0.3">
      <c r="A176">
        <v>10626</v>
      </c>
      <c r="B176" s="1">
        <v>46107.363344050929</v>
      </c>
      <c r="C176" t="s">
        <v>29</v>
      </c>
      <c r="D176">
        <v>9.9499999999999993</v>
      </c>
      <c r="E176" t="s">
        <v>11</v>
      </c>
      <c r="F176" t="s">
        <v>12</v>
      </c>
      <c r="G176" t="s">
        <v>14</v>
      </c>
      <c r="H176" t="s">
        <v>103</v>
      </c>
      <c r="I176">
        <v>202</v>
      </c>
      <c r="J176">
        <f>Table1[[#This Row],[Price]]*Table1[[#This Row],[Quantity]]</f>
        <v>2009.8999999999999</v>
      </c>
    </row>
    <row r="177" spans="1:10" x14ac:dyDescent="0.3">
      <c r="A177">
        <v>10627</v>
      </c>
      <c r="B177" s="1">
        <v>46107.842443726848</v>
      </c>
      <c r="C177" t="s">
        <v>9</v>
      </c>
      <c r="D177">
        <v>3.49</v>
      </c>
      <c r="E177" t="s">
        <v>11</v>
      </c>
      <c r="F177" t="s">
        <v>12</v>
      </c>
      <c r="G177" t="s">
        <v>14</v>
      </c>
      <c r="H177" t="s">
        <v>103</v>
      </c>
      <c r="I177">
        <v>631</v>
      </c>
      <c r="J177">
        <f>Table1[[#This Row],[Price]]*Table1[[#This Row],[Quantity]]</f>
        <v>2202.19</v>
      </c>
    </row>
    <row r="178" spans="1:10" x14ac:dyDescent="0.3">
      <c r="A178">
        <v>10628</v>
      </c>
      <c r="B178" s="1">
        <v>46108.321543402781</v>
      </c>
      <c r="C178" t="s">
        <v>15</v>
      </c>
      <c r="D178">
        <v>2.95</v>
      </c>
      <c r="E178" t="s">
        <v>11</v>
      </c>
      <c r="F178" t="s">
        <v>12</v>
      </c>
      <c r="G178" t="s">
        <v>23</v>
      </c>
      <c r="H178" t="s">
        <v>105</v>
      </c>
      <c r="I178">
        <v>679</v>
      </c>
      <c r="J178">
        <f>Table1[[#This Row],[Price]]*Table1[[#This Row],[Quantity]]</f>
        <v>2003.0500000000002</v>
      </c>
    </row>
    <row r="179" spans="1:10" x14ac:dyDescent="0.3">
      <c r="A179">
        <v>10629</v>
      </c>
      <c r="B179" s="1">
        <v>46108.800643090282</v>
      </c>
      <c r="C179" t="s">
        <v>19</v>
      </c>
      <c r="D179">
        <v>4.99</v>
      </c>
      <c r="E179" t="s">
        <v>11</v>
      </c>
      <c r="F179" t="s">
        <v>12</v>
      </c>
      <c r="G179" t="s">
        <v>23</v>
      </c>
      <c r="H179" t="s">
        <v>105</v>
      </c>
      <c r="I179">
        <v>202</v>
      </c>
      <c r="J179">
        <f>Table1[[#This Row],[Price]]*Table1[[#This Row],[Quantity]]</f>
        <v>1007.98</v>
      </c>
    </row>
    <row r="180" spans="1:10" x14ac:dyDescent="0.3">
      <c r="A180">
        <v>10630</v>
      </c>
      <c r="B180" s="1">
        <v>46109.279742766201</v>
      </c>
      <c r="C180" t="s">
        <v>24</v>
      </c>
      <c r="D180">
        <v>12.99</v>
      </c>
      <c r="E180" t="s">
        <v>11</v>
      </c>
      <c r="F180" t="s">
        <v>58</v>
      </c>
      <c r="G180" t="s">
        <v>23</v>
      </c>
      <c r="H180" t="s">
        <v>105</v>
      </c>
      <c r="I180">
        <v>570</v>
      </c>
      <c r="J180">
        <f>Table1[[#This Row],[Price]]*Table1[[#This Row],[Quantity]]</f>
        <v>7404.3</v>
      </c>
    </row>
    <row r="181" spans="1:10" x14ac:dyDescent="0.3">
      <c r="A181">
        <v>10631</v>
      </c>
      <c r="B181" s="1">
        <v>46109.758842442126</v>
      </c>
      <c r="C181" t="s">
        <v>29</v>
      </c>
      <c r="D181">
        <v>9.9499999999999993</v>
      </c>
      <c r="E181" t="s">
        <v>11</v>
      </c>
      <c r="F181" t="s">
        <v>12</v>
      </c>
      <c r="G181" t="s">
        <v>23</v>
      </c>
      <c r="H181" t="s">
        <v>105</v>
      </c>
      <c r="I181">
        <v>202</v>
      </c>
      <c r="J181">
        <f>Table1[[#This Row],[Price]]*Table1[[#This Row],[Quantity]]</f>
        <v>2009.8999999999999</v>
      </c>
    </row>
    <row r="182" spans="1:10" x14ac:dyDescent="0.3">
      <c r="A182">
        <v>10632</v>
      </c>
      <c r="B182" s="1">
        <v>46110.237942118052</v>
      </c>
      <c r="C182" t="s">
        <v>9</v>
      </c>
      <c r="D182">
        <v>3.49</v>
      </c>
      <c r="E182" t="s">
        <v>11</v>
      </c>
      <c r="F182" t="s">
        <v>12</v>
      </c>
      <c r="G182" t="s">
        <v>23</v>
      </c>
      <c r="H182" t="s">
        <v>105</v>
      </c>
      <c r="I182">
        <v>631</v>
      </c>
      <c r="J182">
        <f>Table1[[#This Row],[Price]]*Table1[[#This Row],[Quantity]]</f>
        <v>2202.19</v>
      </c>
    </row>
    <row r="183" spans="1:10" x14ac:dyDescent="0.3">
      <c r="A183">
        <v>10633</v>
      </c>
      <c r="B183" s="1">
        <v>46110.717041805547</v>
      </c>
      <c r="C183" t="s">
        <v>15</v>
      </c>
      <c r="D183">
        <v>2.95</v>
      </c>
      <c r="E183" t="s">
        <v>11</v>
      </c>
      <c r="F183" t="s">
        <v>12</v>
      </c>
      <c r="G183" t="s">
        <v>23</v>
      </c>
      <c r="H183" t="s">
        <v>105</v>
      </c>
      <c r="I183">
        <v>679</v>
      </c>
      <c r="J183">
        <f>Table1[[#This Row],[Price]]*Table1[[#This Row],[Quantity]]</f>
        <v>2003.0500000000002</v>
      </c>
    </row>
    <row r="184" spans="1:10" x14ac:dyDescent="0.3">
      <c r="A184">
        <v>10634</v>
      </c>
      <c r="B184" s="1">
        <v>46111.19614148148</v>
      </c>
      <c r="C184" t="s">
        <v>19</v>
      </c>
      <c r="D184">
        <v>4.99</v>
      </c>
      <c r="E184" t="s">
        <v>11</v>
      </c>
      <c r="F184" t="s">
        <v>12</v>
      </c>
      <c r="G184" t="s">
        <v>23</v>
      </c>
      <c r="H184" t="s">
        <v>105</v>
      </c>
      <c r="I184">
        <v>202</v>
      </c>
      <c r="J184">
        <f>Table1[[#This Row],[Price]]*Table1[[#This Row],[Quantity]]</f>
        <v>1007.98</v>
      </c>
    </row>
    <row r="185" spans="1:10" x14ac:dyDescent="0.3">
      <c r="A185">
        <v>10635</v>
      </c>
      <c r="B185" s="1">
        <v>46111.675241157413</v>
      </c>
      <c r="C185" t="s">
        <v>24</v>
      </c>
      <c r="D185">
        <v>12.99</v>
      </c>
      <c r="E185" t="s">
        <v>11</v>
      </c>
      <c r="F185" t="s">
        <v>12</v>
      </c>
      <c r="G185" t="s">
        <v>23</v>
      </c>
      <c r="H185" t="s">
        <v>105</v>
      </c>
      <c r="I185">
        <v>555</v>
      </c>
      <c r="J185">
        <f>Table1[[#This Row],[Price]]*Table1[[#This Row],[Quantity]]</f>
        <v>7209.45</v>
      </c>
    </row>
    <row r="186" spans="1:10" x14ac:dyDescent="0.3">
      <c r="A186">
        <v>10636</v>
      </c>
      <c r="B186" s="1">
        <v>46112.154340833331</v>
      </c>
      <c r="C186" t="s">
        <v>29</v>
      </c>
      <c r="D186">
        <v>9.9499999999999993</v>
      </c>
      <c r="E186" t="s">
        <v>11</v>
      </c>
      <c r="F186" t="s">
        <v>12</v>
      </c>
      <c r="G186" t="s">
        <v>23</v>
      </c>
      <c r="H186" t="s">
        <v>105</v>
      </c>
      <c r="I186">
        <v>222</v>
      </c>
      <c r="J186">
        <f>Table1[[#This Row],[Price]]*Table1[[#This Row],[Quantity]]</f>
        <v>2208.8999999999996</v>
      </c>
    </row>
    <row r="187" spans="1:10" x14ac:dyDescent="0.3">
      <c r="A187">
        <v>10637</v>
      </c>
      <c r="B187" s="1">
        <v>46112.633440509257</v>
      </c>
      <c r="C187" t="s">
        <v>9</v>
      </c>
      <c r="D187">
        <v>3.49</v>
      </c>
      <c r="E187" t="s">
        <v>11</v>
      </c>
      <c r="F187" t="s">
        <v>12</v>
      </c>
      <c r="G187" t="s">
        <v>23</v>
      </c>
      <c r="H187" t="s">
        <v>105</v>
      </c>
      <c r="I187">
        <v>632</v>
      </c>
      <c r="J187">
        <f>Table1[[#This Row],[Price]]*Table1[[#This Row],[Quantity]]</f>
        <v>2205.6800000000003</v>
      </c>
    </row>
    <row r="188" spans="1:10" x14ac:dyDescent="0.3">
      <c r="A188">
        <v>10638</v>
      </c>
      <c r="B188" s="1">
        <v>46113.112540196758</v>
      </c>
      <c r="C188" t="s">
        <v>15</v>
      </c>
      <c r="D188">
        <v>2.95</v>
      </c>
      <c r="E188" t="s">
        <v>11</v>
      </c>
      <c r="F188" t="s">
        <v>12</v>
      </c>
      <c r="G188" t="s">
        <v>23</v>
      </c>
      <c r="H188" t="s">
        <v>105</v>
      </c>
      <c r="I188">
        <v>679</v>
      </c>
      <c r="J188">
        <f>Table1[[#This Row],[Price]]*Table1[[#This Row],[Quantity]]</f>
        <v>2003.0500000000002</v>
      </c>
    </row>
    <row r="189" spans="1:10" x14ac:dyDescent="0.3">
      <c r="A189">
        <v>10639</v>
      </c>
      <c r="B189" s="1">
        <v>46113.591639872677</v>
      </c>
      <c r="C189" t="s">
        <v>19</v>
      </c>
      <c r="D189">
        <v>4.99</v>
      </c>
      <c r="E189" t="s">
        <v>11</v>
      </c>
      <c r="F189" t="s">
        <v>12</v>
      </c>
      <c r="G189" t="s">
        <v>23</v>
      </c>
      <c r="H189" t="s">
        <v>105</v>
      </c>
      <c r="I189">
        <v>202</v>
      </c>
      <c r="J189">
        <f>Table1[[#This Row],[Price]]*Table1[[#This Row],[Quantity]]</f>
        <v>1007.98</v>
      </c>
    </row>
    <row r="190" spans="1:10" x14ac:dyDescent="0.3">
      <c r="A190">
        <v>10640</v>
      </c>
      <c r="B190" s="1">
        <v>46114.07073954861</v>
      </c>
      <c r="C190" t="s">
        <v>24</v>
      </c>
      <c r="D190">
        <v>12.99</v>
      </c>
      <c r="E190" t="s">
        <v>11</v>
      </c>
      <c r="F190" t="s">
        <v>12</v>
      </c>
      <c r="G190" t="s">
        <v>23</v>
      </c>
      <c r="H190" t="s">
        <v>105</v>
      </c>
      <c r="I190">
        <v>540</v>
      </c>
      <c r="J190">
        <f>Table1[[#This Row],[Price]]*Table1[[#This Row],[Quantity]]</f>
        <v>7014.6</v>
      </c>
    </row>
    <row r="191" spans="1:10" x14ac:dyDescent="0.3">
      <c r="A191">
        <v>10641</v>
      </c>
      <c r="B191" s="1">
        <v>46114.549839224543</v>
      </c>
      <c r="C191" t="s">
        <v>29</v>
      </c>
      <c r="D191">
        <v>9.9499999999999993</v>
      </c>
      <c r="E191" t="s">
        <v>11</v>
      </c>
      <c r="F191" t="s">
        <v>12</v>
      </c>
      <c r="G191" t="s">
        <v>23</v>
      </c>
      <c r="H191" t="s">
        <v>105</v>
      </c>
      <c r="I191">
        <v>222</v>
      </c>
      <c r="J191">
        <f>Table1[[#This Row],[Price]]*Table1[[#This Row],[Quantity]]</f>
        <v>2208.8999999999996</v>
      </c>
    </row>
    <row r="192" spans="1:10" x14ac:dyDescent="0.3">
      <c r="A192">
        <v>10642</v>
      </c>
      <c r="B192" s="1">
        <v>46115.028938912037</v>
      </c>
      <c r="C192" t="s">
        <v>9</v>
      </c>
      <c r="D192">
        <v>3.49</v>
      </c>
      <c r="E192" t="s">
        <v>11</v>
      </c>
      <c r="F192" t="s">
        <v>58</v>
      </c>
      <c r="G192" t="s">
        <v>23</v>
      </c>
      <c r="H192" t="s">
        <v>105</v>
      </c>
      <c r="I192">
        <v>631</v>
      </c>
      <c r="J192">
        <f>Table1[[#This Row],[Price]]*Table1[[#This Row],[Quantity]]</f>
        <v>2202.19</v>
      </c>
    </row>
    <row r="193" spans="1:10" x14ac:dyDescent="0.3">
      <c r="A193">
        <v>10643</v>
      </c>
      <c r="B193" s="1">
        <v>46115.508038587963</v>
      </c>
      <c r="C193" t="s">
        <v>15</v>
      </c>
      <c r="D193">
        <v>2.95</v>
      </c>
      <c r="E193" t="s">
        <v>11</v>
      </c>
      <c r="F193" t="s">
        <v>58</v>
      </c>
      <c r="G193" t="s">
        <v>23</v>
      </c>
      <c r="H193" t="s">
        <v>105</v>
      </c>
      <c r="I193">
        <v>679</v>
      </c>
      <c r="J193">
        <f>Table1[[#This Row],[Price]]*Table1[[#This Row],[Quantity]]</f>
        <v>2003.0500000000002</v>
      </c>
    </row>
    <row r="194" spans="1:10" x14ac:dyDescent="0.3">
      <c r="A194">
        <v>10644</v>
      </c>
      <c r="B194" s="1">
        <v>46115.987138263888</v>
      </c>
      <c r="C194" t="s">
        <v>19</v>
      </c>
      <c r="D194">
        <v>4.99</v>
      </c>
      <c r="E194" t="s">
        <v>11</v>
      </c>
      <c r="F194" t="s">
        <v>58</v>
      </c>
      <c r="G194" t="s">
        <v>23</v>
      </c>
      <c r="H194" t="s">
        <v>105</v>
      </c>
      <c r="I194">
        <v>202</v>
      </c>
      <c r="J194">
        <f>Table1[[#This Row],[Price]]*Table1[[#This Row],[Quantity]]</f>
        <v>1007.98</v>
      </c>
    </row>
    <row r="195" spans="1:10" x14ac:dyDescent="0.3">
      <c r="A195">
        <v>10645</v>
      </c>
      <c r="B195" s="1">
        <v>46116.466237939807</v>
      </c>
      <c r="C195" t="s">
        <v>24</v>
      </c>
      <c r="D195">
        <v>12.99</v>
      </c>
      <c r="E195" t="s">
        <v>11</v>
      </c>
      <c r="F195" t="s">
        <v>58</v>
      </c>
      <c r="G195" t="s">
        <v>23</v>
      </c>
      <c r="H195" t="s">
        <v>105</v>
      </c>
      <c r="I195">
        <v>570</v>
      </c>
      <c r="J195">
        <f>Table1[[#This Row],[Price]]*Table1[[#This Row],[Quantity]]</f>
        <v>7404.3</v>
      </c>
    </row>
    <row r="196" spans="1:10" x14ac:dyDescent="0.3">
      <c r="A196">
        <v>10646</v>
      </c>
      <c r="B196" s="1">
        <v>46116.94533761574</v>
      </c>
      <c r="C196" t="s">
        <v>29</v>
      </c>
      <c r="D196">
        <v>9.9499999999999993</v>
      </c>
      <c r="E196" t="s">
        <v>11</v>
      </c>
      <c r="F196" t="s">
        <v>58</v>
      </c>
      <c r="G196" t="s">
        <v>23</v>
      </c>
      <c r="H196" t="s">
        <v>105</v>
      </c>
      <c r="I196">
        <v>222</v>
      </c>
      <c r="J196">
        <f>Table1[[#This Row],[Price]]*Table1[[#This Row],[Quantity]]</f>
        <v>2208.8999999999996</v>
      </c>
    </row>
    <row r="197" spans="1:10" x14ac:dyDescent="0.3">
      <c r="A197">
        <v>10647</v>
      </c>
      <c r="B197" s="1">
        <v>46117.424437303242</v>
      </c>
      <c r="C197" t="s">
        <v>9</v>
      </c>
      <c r="D197">
        <v>3.49</v>
      </c>
      <c r="E197" t="s">
        <v>11</v>
      </c>
      <c r="F197" t="s">
        <v>12</v>
      </c>
      <c r="G197" t="s">
        <v>23</v>
      </c>
      <c r="H197" t="s">
        <v>105</v>
      </c>
      <c r="I197">
        <v>631</v>
      </c>
      <c r="J197">
        <f>Table1[[#This Row],[Price]]*Table1[[#This Row],[Quantity]]</f>
        <v>2202.19</v>
      </c>
    </row>
    <row r="198" spans="1:10" x14ac:dyDescent="0.3">
      <c r="A198">
        <v>10648</v>
      </c>
      <c r="B198" s="1">
        <v>46117.903536979167</v>
      </c>
      <c r="C198" t="s">
        <v>15</v>
      </c>
      <c r="D198">
        <v>2.95</v>
      </c>
      <c r="E198" t="s">
        <v>11</v>
      </c>
      <c r="F198" t="s">
        <v>12</v>
      </c>
      <c r="G198" t="s">
        <v>23</v>
      </c>
      <c r="H198" t="s">
        <v>105</v>
      </c>
      <c r="I198">
        <v>747</v>
      </c>
      <c r="J198">
        <f>Table1[[#This Row],[Price]]*Table1[[#This Row],[Quantity]]</f>
        <v>2203.65</v>
      </c>
    </row>
    <row r="199" spans="1:10" x14ac:dyDescent="0.3">
      <c r="A199">
        <v>10649</v>
      </c>
      <c r="B199" s="1">
        <v>46118.382636655093</v>
      </c>
      <c r="C199" t="s">
        <v>19</v>
      </c>
      <c r="D199">
        <v>4.99</v>
      </c>
      <c r="E199" t="s">
        <v>11</v>
      </c>
      <c r="F199" t="s">
        <v>12</v>
      </c>
      <c r="G199" t="s">
        <v>23</v>
      </c>
      <c r="H199" t="s">
        <v>105</v>
      </c>
      <c r="I199">
        <v>201</v>
      </c>
      <c r="J199">
        <f>Table1[[#This Row],[Price]]*Table1[[#This Row],[Quantity]]</f>
        <v>1002.99</v>
      </c>
    </row>
    <row r="200" spans="1:10" x14ac:dyDescent="0.3">
      <c r="A200">
        <v>10650</v>
      </c>
      <c r="B200" s="1">
        <v>46118.861736331019</v>
      </c>
      <c r="C200" t="s">
        <v>24</v>
      </c>
      <c r="D200">
        <v>12.99</v>
      </c>
      <c r="E200" t="s">
        <v>11</v>
      </c>
      <c r="F200" t="s">
        <v>12</v>
      </c>
      <c r="G200" t="s">
        <v>23</v>
      </c>
      <c r="H200" t="s">
        <v>105</v>
      </c>
      <c r="I200">
        <v>586</v>
      </c>
      <c r="J200">
        <f>Table1[[#This Row],[Price]]*Table1[[#This Row],[Quantity]]</f>
        <v>7612.14</v>
      </c>
    </row>
    <row r="201" spans="1:10" x14ac:dyDescent="0.3">
      <c r="A201">
        <v>10651</v>
      </c>
      <c r="B201" s="1">
        <v>46119.34083601852</v>
      </c>
      <c r="C201" t="s">
        <v>29</v>
      </c>
      <c r="D201">
        <v>9.9499999999999993</v>
      </c>
      <c r="E201" t="s">
        <v>11</v>
      </c>
      <c r="F201" t="s">
        <v>12</v>
      </c>
      <c r="G201" t="s">
        <v>23</v>
      </c>
      <c r="H201" t="s">
        <v>105</v>
      </c>
      <c r="I201">
        <v>222</v>
      </c>
      <c r="J201">
        <f>Table1[[#This Row],[Price]]*Table1[[#This Row],[Quantity]]</f>
        <v>2208.8999999999996</v>
      </c>
    </row>
    <row r="202" spans="1:10" x14ac:dyDescent="0.3">
      <c r="A202">
        <v>10652</v>
      </c>
      <c r="B202" s="1">
        <v>46119.819935694453</v>
      </c>
      <c r="C202" t="s">
        <v>9</v>
      </c>
      <c r="D202">
        <v>3.49</v>
      </c>
      <c r="E202" t="s">
        <v>11</v>
      </c>
      <c r="F202" t="s">
        <v>12</v>
      </c>
      <c r="G202" t="s">
        <v>23</v>
      </c>
      <c r="H202" t="s">
        <v>105</v>
      </c>
      <c r="I202">
        <v>689</v>
      </c>
      <c r="J202">
        <f>Table1[[#This Row],[Price]]*Table1[[#This Row],[Quantity]]</f>
        <v>2404.61</v>
      </c>
    </row>
    <row r="203" spans="1:10" x14ac:dyDescent="0.3">
      <c r="A203">
        <v>10653</v>
      </c>
      <c r="B203" s="1">
        <v>46120.299035370372</v>
      </c>
      <c r="C203" t="s">
        <v>15</v>
      </c>
      <c r="D203">
        <v>2.95</v>
      </c>
      <c r="E203" t="s">
        <v>11</v>
      </c>
      <c r="F203" t="s">
        <v>12</v>
      </c>
      <c r="G203" t="s">
        <v>23</v>
      </c>
      <c r="H203" t="s">
        <v>105</v>
      </c>
      <c r="I203">
        <v>746</v>
      </c>
      <c r="J203">
        <f>Table1[[#This Row],[Price]]*Table1[[#This Row],[Quantity]]</f>
        <v>2200.7000000000003</v>
      </c>
    </row>
    <row r="204" spans="1:10" x14ac:dyDescent="0.3">
      <c r="A204">
        <v>10654</v>
      </c>
      <c r="B204" s="1">
        <v>46120.778135046297</v>
      </c>
      <c r="C204" t="s">
        <v>19</v>
      </c>
      <c r="D204">
        <v>4.99</v>
      </c>
      <c r="E204" t="s">
        <v>11</v>
      </c>
      <c r="F204" t="s">
        <v>12</v>
      </c>
      <c r="G204" t="s">
        <v>23</v>
      </c>
      <c r="H204" t="s">
        <v>105</v>
      </c>
      <c r="I204">
        <v>201</v>
      </c>
      <c r="J204">
        <f>Table1[[#This Row],[Price]]*Table1[[#This Row],[Quantity]]</f>
        <v>1002.99</v>
      </c>
    </row>
    <row r="205" spans="1:10" x14ac:dyDescent="0.3">
      <c r="A205">
        <v>10655</v>
      </c>
      <c r="B205" s="1">
        <v>46121.257234722223</v>
      </c>
      <c r="C205" t="s">
        <v>24</v>
      </c>
      <c r="D205">
        <v>12.99</v>
      </c>
      <c r="E205" t="s">
        <v>11</v>
      </c>
      <c r="F205" t="s">
        <v>12</v>
      </c>
      <c r="G205" t="s">
        <v>23</v>
      </c>
      <c r="H205" t="s">
        <v>105</v>
      </c>
      <c r="I205">
        <v>602</v>
      </c>
      <c r="J205">
        <f>Table1[[#This Row],[Price]]*Table1[[#This Row],[Quantity]]</f>
        <v>7819.9800000000005</v>
      </c>
    </row>
    <row r="206" spans="1:10" x14ac:dyDescent="0.3">
      <c r="A206">
        <v>10656</v>
      </c>
      <c r="B206" s="1">
        <v>46121.736334409718</v>
      </c>
      <c r="C206" t="s">
        <v>29</v>
      </c>
      <c r="D206">
        <v>9.9499999999999993</v>
      </c>
      <c r="E206" t="s">
        <v>11</v>
      </c>
      <c r="F206" t="s">
        <v>12</v>
      </c>
      <c r="G206" t="s">
        <v>23</v>
      </c>
      <c r="H206" t="s">
        <v>105</v>
      </c>
      <c r="I206">
        <v>222</v>
      </c>
      <c r="J206">
        <f>Table1[[#This Row],[Price]]*Table1[[#This Row],[Quantity]]</f>
        <v>2208.8999999999996</v>
      </c>
    </row>
    <row r="207" spans="1:10" x14ac:dyDescent="0.3">
      <c r="A207">
        <v>10657</v>
      </c>
      <c r="B207" s="1">
        <v>46122.21543408565</v>
      </c>
      <c r="C207" t="s">
        <v>9</v>
      </c>
      <c r="D207">
        <v>3.49</v>
      </c>
      <c r="E207" t="s">
        <v>11</v>
      </c>
      <c r="F207" t="s">
        <v>12</v>
      </c>
      <c r="G207" t="s">
        <v>23</v>
      </c>
      <c r="H207" t="s">
        <v>105</v>
      </c>
      <c r="I207">
        <v>689</v>
      </c>
      <c r="J207">
        <f>Table1[[#This Row],[Price]]*Table1[[#This Row],[Quantity]]</f>
        <v>2404.61</v>
      </c>
    </row>
    <row r="208" spans="1:10" x14ac:dyDescent="0.3">
      <c r="A208">
        <v>10658</v>
      </c>
      <c r="B208" s="1">
        <v>46122.694533761583</v>
      </c>
      <c r="C208" t="s">
        <v>15</v>
      </c>
      <c r="D208">
        <v>2.95</v>
      </c>
      <c r="E208" t="s">
        <v>11</v>
      </c>
      <c r="F208" t="s">
        <v>58</v>
      </c>
      <c r="G208" t="s">
        <v>23</v>
      </c>
      <c r="H208" t="s">
        <v>105</v>
      </c>
      <c r="I208">
        <v>747</v>
      </c>
      <c r="J208">
        <f>Table1[[#This Row],[Price]]*Table1[[#This Row],[Quantity]]</f>
        <v>2203.65</v>
      </c>
    </row>
    <row r="209" spans="1:10" x14ac:dyDescent="0.3">
      <c r="A209">
        <v>10659</v>
      </c>
      <c r="B209" s="1">
        <v>46123.173633437502</v>
      </c>
      <c r="C209" t="s">
        <v>19</v>
      </c>
      <c r="D209">
        <v>4.99</v>
      </c>
      <c r="E209" t="s">
        <v>11</v>
      </c>
      <c r="F209" t="s">
        <v>58</v>
      </c>
      <c r="G209" t="s">
        <v>23</v>
      </c>
      <c r="H209" t="s">
        <v>105</v>
      </c>
      <c r="I209">
        <v>201</v>
      </c>
      <c r="J209">
        <f>Table1[[#This Row],[Price]]*Table1[[#This Row],[Quantity]]</f>
        <v>1002.99</v>
      </c>
    </row>
    <row r="210" spans="1:10" x14ac:dyDescent="0.3">
      <c r="A210">
        <v>10660</v>
      </c>
      <c r="B210" s="1">
        <v>46123.652733113428</v>
      </c>
      <c r="C210" t="s">
        <v>24</v>
      </c>
      <c r="D210">
        <v>12.99</v>
      </c>
      <c r="E210" t="s">
        <v>21</v>
      </c>
      <c r="F210" t="s">
        <v>58</v>
      </c>
      <c r="G210" t="s">
        <v>23</v>
      </c>
      <c r="H210" t="s">
        <v>105</v>
      </c>
      <c r="I210">
        <v>632</v>
      </c>
      <c r="J210">
        <f>Table1[[#This Row],[Price]]*Table1[[#This Row],[Quantity]]</f>
        <v>8209.68</v>
      </c>
    </row>
    <row r="211" spans="1:10" x14ac:dyDescent="0.3">
      <c r="A211">
        <v>10661</v>
      </c>
      <c r="B211" s="1">
        <v>46124.131832800929</v>
      </c>
      <c r="C211" t="s">
        <v>29</v>
      </c>
      <c r="D211">
        <v>9.9499999999999993</v>
      </c>
      <c r="E211" t="s">
        <v>21</v>
      </c>
      <c r="F211" t="s">
        <v>58</v>
      </c>
      <c r="G211" t="s">
        <v>23</v>
      </c>
      <c r="H211" t="s">
        <v>105</v>
      </c>
      <c r="I211">
        <v>222</v>
      </c>
      <c r="J211">
        <f>Table1[[#This Row],[Price]]*Table1[[#This Row],[Quantity]]</f>
        <v>2208.8999999999996</v>
      </c>
    </row>
    <row r="212" spans="1:10" x14ac:dyDescent="0.3">
      <c r="A212">
        <v>10662</v>
      </c>
      <c r="B212" s="1">
        <v>46124.610932476848</v>
      </c>
      <c r="C212" t="s">
        <v>9</v>
      </c>
      <c r="D212">
        <v>3.49</v>
      </c>
      <c r="E212" t="s">
        <v>21</v>
      </c>
      <c r="F212" t="s">
        <v>58</v>
      </c>
      <c r="G212" t="s">
        <v>23</v>
      </c>
      <c r="H212" t="s">
        <v>105</v>
      </c>
      <c r="I212">
        <v>631</v>
      </c>
      <c r="J212">
        <f>Table1[[#This Row],[Price]]*Table1[[#This Row],[Quantity]]</f>
        <v>2202.19</v>
      </c>
    </row>
    <row r="213" spans="1:10" x14ac:dyDescent="0.3">
      <c r="A213">
        <v>10663</v>
      </c>
      <c r="B213" s="1">
        <v>46125.090032152781</v>
      </c>
      <c r="C213" t="s">
        <v>15</v>
      </c>
      <c r="D213">
        <v>2.95</v>
      </c>
      <c r="E213" t="s">
        <v>21</v>
      </c>
      <c r="F213" t="s">
        <v>58</v>
      </c>
      <c r="G213" t="s">
        <v>23</v>
      </c>
      <c r="H213" t="s">
        <v>105</v>
      </c>
      <c r="I213">
        <v>747</v>
      </c>
      <c r="J213">
        <f>Table1[[#This Row],[Price]]*Table1[[#This Row],[Quantity]]</f>
        <v>2203.65</v>
      </c>
    </row>
    <row r="214" spans="1:10" x14ac:dyDescent="0.3">
      <c r="A214">
        <v>10664</v>
      </c>
      <c r="B214" s="1">
        <v>46125.569131828714</v>
      </c>
      <c r="C214" t="s">
        <v>19</v>
      </c>
      <c r="D214">
        <v>4.99</v>
      </c>
      <c r="E214" t="s">
        <v>21</v>
      </c>
      <c r="F214" t="s">
        <v>58</v>
      </c>
      <c r="G214" t="s">
        <v>23</v>
      </c>
      <c r="H214" t="s">
        <v>105</v>
      </c>
      <c r="I214">
        <v>201</v>
      </c>
      <c r="J214">
        <f>Table1[[#This Row],[Price]]*Table1[[#This Row],[Quantity]]</f>
        <v>1002.99</v>
      </c>
    </row>
    <row r="215" spans="1:10" x14ac:dyDescent="0.3">
      <c r="A215">
        <v>10665</v>
      </c>
      <c r="B215" s="1">
        <v>46126.048231516201</v>
      </c>
      <c r="C215" t="s">
        <v>24</v>
      </c>
      <c r="D215">
        <v>12.99</v>
      </c>
      <c r="E215" t="s">
        <v>21</v>
      </c>
      <c r="F215" t="s">
        <v>58</v>
      </c>
      <c r="G215" t="s">
        <v>23</v>
      </c>
      <c r="H215" t="s">
        <v>105</v>
      </c>
      <c r="I215">
        <v>648</v>
      </c>
      <c r="J215">
        <f>Table1[[#This Row],[Price]]*Table1[[#This Row],[Quantity]]</f>
        <v>8417.52</v>
      </c>
    </row>
    <row r="216" spans="1:10" x14ac:dyDescent="0.3">
      <c r="A216">
        <v>10666</v>
      </c>
      <c r="B216" s="1">
        <v>46126.527331192126</v>
      </c>
      <c r="C216" t="s">
        <v>29</v>
      </c>
      <c r="D216">
        <v>9.9499999999999993</v>
      </c>
      <c r="E216" t="s">
        <v>21</v>
      </c>
      <c r="F216" t="s">
        <v>58</v>
      </c>
      <c r="G216" t="s">
        <v>23</v>
      </c>
      <c r="H216" t="s">
        <v>105</v>
      </c>
      <c r="I216">
        <v>222</v>
      </c>
      <c r="J216">
        <f>Table1[[#This Row],[Price]]*Table1[[#This Row],[Quantity]]</f>
        <v>2208.8999999999996</v>
      </c>
    </row>
    <row r="217" spans="1:10" x14ac:dyDescent="0.3">
      <c r="A217">
        <v>10667</v>
      </c>
      <c r="B217" s="1">
        <v>46127.006430868052</v>
      </c>
      <c r="C217" t="s">
        <v>9</v>
      </c>
      <c r="D217">
        <v>3.49</v>
      </c>
      <c r="E217" t="s">
        <v>21</v>
      </c>
      <c r="F217" t="s">
        <v>58</v>
      </c>
      <c r="G217" t="s">
        <v>23</v>
      </c>
      <c r="H217" t="s">
        <v>105</v>
      </c>
      <c r="I217">
        <v>631</v>
      </c>
      <c r="J217">
        <f>Table1[[#This Row],[Price]]*Table1[[#This Row],[Quantity]]</f>
        <v>2202.19</v>
      </c>
    </row>
    <row r="218" spans="1:10" x14ac:dyDescent="0.3">
      <c r="A218">
        <v>10668</v>
      </c>
      <c r="B218" s="1">
        <v>46127.485530543992</v>
      </c>
      <c r="C218" t="s">
        <v>15</v>
      </c>
      <c r="D218">
        <v>2.95</v>
      </c>
      <c r="E218" t="s">
        <v>21</v>
      </c>
      <c r="F218" t="s">
        <v>58</v>
      </c>
      <c r="G218" t="s">
        <v>23</v>
      </c>
      <c r="H218" t="s">
        <v>105</v>
      </c>
      <c r="I218">
        <v>747</v>
      </c>
      <c r="J218">
        <f>Table1[[#This Row],[Price]]*Table1[[#This Row],[Quantity]]</f>
        <v>2203.65</v>
      </c>
    </row>
    <row r="219" spans="1:10" x14ac:dyDescent="0.3">
      <c r="A219">
        <v>10669</v>
      </c>
      <c r="B219" s="1">
        <v>46127.964630219911</v>
      </c>
      <c r="C219" t="s">
        <v>19</v>
      </c>
      <c r="D219">
        <v>4.99</v>
      </c>
      <c r="E219" t="s">
        <v>21</v>
      </c>
      <c r="F219" t="s">
        <v>58</v>
      </c>
      <c r="G219" t="s">
        <v>23</v>
      </c>
      <c r="H219" t="s">
        <v>105</v>
      </c>
      <c r="I219">
        <v>202</v>
      </c>
      <c r="J219">
        <f>Table1[[#This Row],[Price]]*Table1[[#This Row],[Quantity]]</f>
        <v>1007.98</v>
      </c>
    </row>
    <row r="220" spans="1:10" x14ac:dyDescent="0.3">
      <c r="A220">
        <v>10670</v>
      </c>
      <c r="B220" s="1">
        <v>46128.443729907412</v>
      </c>
      <c r="C220" t="s">
        <v>24</v>
      </c>
      <c r="D220">
        <v>12.99</v>
      </c>
      <c r="E220" t="s">
        <v>21</v>
      </c>
      <c r="F220" t="s">
        <v>58</v>
      </c>
      <c r="G220" t="s">
        <v>23</v>
      </c>
      <c r="H220" t="s">
        <v>105</v>
      </c>
      <c r="I220">
        <v>678</v>
      </c>
      <c r="J220">
        <f>Table1[[#This Row],[Price]]*Table1[[#This Row],[Quantity]]</f>
        <v>8807.2199999999993</v>
      </c>
    </row>
    <row r="221" spans="1:10" x14ac:dyDescent="0.3">
      <c r="A221">
        <v>10671</v>
      </c>
      <c r="B221" s="1">
        <v>46128.922829583331</v>
      </c>
      <c r="C221" t="s">
        <v>29</v>
      </c>
      <c r="D221">
        <v>9.9499999999999993</v>
      </c>
      <c r="E221" t="s">
        <v>21</v>
      </c>
      <c r="F221" t="s">
        <v>58</v>
      </c>
      <c r="G221" t="s">
        <v>23</v>
      </c>
      <c r="H221" t="s">
        <v>105</v>
      </c>
      <c r="I221">
        <v>222</v>
      </c>
      <c r="J221">
        <f>Table1[[#This Row],[Price]]*Table1[[#This Row],[Quantity]]</f>
        <v>2208.8999999999996</v>
      </c>
    </row>
    <row r="222" spans="1:10" x14ac:dyDescent="0.3">
      <c r="A222">
        <v>10672</v>
      </c>
      <c r="B222" s="1">
        <v>46129.401929259257</v>
      </c>
      <c r="C222" t="s">
        <v>9</v>
      </c>
      <c r="D222">
        <v>3.49</v>
      </c>
      <c r="E222" t="s">
        <v>21</v>
      </c>
      <c r="F222" t="s">
        <v>58</v>
      </c>
      <c r="G222" t="s">
        <v>23</v>
      </c>
      <c r="H222" t="s">
        <v>105</v>
      </c>
      <c r="I222">
        <v>631</v>
      </c>
      <c r="J222">
        <f>Table1[[#This Row],[Price]]*Table1[[#This Row],[Quantity]]</f>
        <v>2202.19</v>
      </c>
    </row>
    <row r="223" spans="1:10" x14ac:dyDescent="0.3">
      <c r="A223">
        <v>10673</v>
      </c>
      <c r="B223" s="1">
        <v>46129.881028935182</v>
      </c>
      <c r="C223" t="s">
        <v>15</v>
      </c>
      <c r="D223">
        <v>2.95</v>
      </c>
      <c r="E223" t="s">
        <v>21</v>
      </c>
      <c r="F223" t="s">
        <v>58</v>
      </c>
      <c r="G223" t="s">
        <v>23</v>
      </c>
      <c r="H223" t="s">
        <v>105</v>
      </c>
      <c r="I223">
        <v>747</v>
      </c>
      <c r="J223">
        <f>Table1[[#This Row],[Price]]*Table1[[#This Row],[Quantity]]</f>
        <v>2203.65</v>
      </c>
    </row>
    <row r="224" spans="1:10" x14ac:dyDescent="0.3">
      <c r="A224">
        <v>10674</v>
      </c>
      <c r="B224" s="1">
        <v>46130.360128622677</v>
      </c>
      <c r="C224" t="s">
        <v>19</v>
      </c>
      <c r="D224">
        <v>4.99</v>
      </c>
      <c r="E224" t="s">
        <v>21</v>
      </c>
      <c r="F224" t="s">
        <v>58</v>
      </c>
      <c r="G224" t="s">
        <v>23</v>
      </c>
      <c r="H224" t="s">
        <v>105</v>
      </c>
      <c r="I224">
        <v>202</v>
      </c>
      <c r="J224">
        <f>Table1[[#This Row],[Price]]*Table1[[#This Row],[Quantity]]</f>
        <v>1007.98</v>
      </c>
    </row>
    <row r="225" spans="1:10" x14ac:dyDescent="0.3">
      <c r="A225">
        <v>10675</v>
      </c>
      <c r="B225" s="1">
        <v>46130.83922829861</v>
      </c>
      <c r="C225" t="s">
        <v>24</v>
      </c>
      <c r="D225">
        <v>12.99</v>
      </c>
      <c r="E225" t="s">
        <v>21</v>
      </c>
      <c r="F225" t="s">
        <v>58</v>
      </c>
      <c r="G225" t="s">
        <v>23</v>
      </c>
      <c r="H225" t="s">
        <v>105</v>
      </c>
      <c r="I225">
        <v>678</v>
      </c>
      <c r="J225">
        <f>Table1[[#This Row],[Price]]*Table1[[#This Row],[Quantity]]</f>
        <v>8807.2199999999993</v>
      </c>
    </row>
    <row r="226" spans="1:10" x14ac:dyDescent="0.3">
      <c r="A226">
        <v>10676</v>
      </c>
      <c r="B226" s="1">
        <v>46131.318327974543</v>
      </c>
      <c r="C226" t="s">
        <v>29</v>
      </c>
      <c r="D226">
        <v>9.9499999999999993</v>
      </c>
      <c r="E226" t="s">
        <v>21</v>
      </c>
      <c r="F226" t="s">
        <v>58</v>
      </c>
      <c r="G226" t="s">
        <v>23</v>
      </c>
      <c r="H226" t="s">
        <v>105</v>
      </c>
      <c r="I226">
        <v>242</v>
      </c>
      <c r="J226">
        <f>Table1[[#This Row],[Price]]*Table1[[#This Row],[Quantity]]</f>
        <v>2407.8999999999996</v>
      </c>
    </row>
    <row r="227" spans="1:10" x14ac:dyDescent="0.3">
      <c r="A227">
        <v>10677</v>
      </c>
      <c r="B227" s="1">
        <v>46131.797427650461</v>
      </c>
      <c r="C227" t="s">
        <v>9</v>
      </c>
      <c r="D227">
        <v>3.49</v>
      </c>
      <c r="E227" t="s">
        <v>21</v>
      </c>
      <c r="F227" t="s">
        <v>58</v>
      </c>
      <c r="G227" t="s">
        <v>23</v>
      </c>
      <c r="H227" t="s">
        <v>105</v>
      </c>
      <c r="I227">
        <v>631</v>
      </c>
      <c r="J227">
        <f>Table1[[#This Row],[Price]]*Table1[[#This Row],[Quantity]]</f>
        <v>2202.19</v>
      </c>
    </row>
    <row r="228" spans="1:10" x14ac:dyDescent="0.3">
      <c r="A228">
        <v>10678</v>
      </c>
      <c r="B228" s="1">
        <v>46132.276527326387</v>
      </c>
      <c r="C228" t="s">
        <v>15</v>
      </c>
      <c r="D228">
        <v>2.95</v>
      </c>
      <c r="E228" t="s">
        <v>21</v>
      </c>
      <c r="F228" t="s">
        <v>58</v>
      </c>
      <c r="G228" t="s">
        <v>23</v>
      </c>
      <c r="H228" t="s">
        <v>105</v>
      </c>
      <c r="I228">
        <v>746</v>
      </c>
      <c r="J228">
        <f>Table1[[#This Row],[Price]]*Table1[[#This Row],[Quantity]]</f>
        <v>2200.7000000000003</v>
      </c>
    </row>
    <row r="229" spans="1:10" x14ac:dyDescent="0.3">
      <c r="A229">
        <v>10679</v>
      </c>
      <c r="B229" s="1">
        <v>46132.755627013888</v>
      </c>
      <c r="C229" t="s">
        <v>19</v>
      </c>
      <c r="D229">
        <v>4.99</v>
      </c>
      <c r="E229" t="s">
        <v>21</v>
      </c>
      <c r="F229" t="s">
        <v>58</v>
      </c>
      <c r="G229" t="s">
        <v>23</v>
      </c>
      <c r="H229" t="s">
        <v>105</v>
      </c>
      <c r="I229">
        <v>201</v>
      </c>
      <c r="J229">
        <f>Table1[[#This Row],[Price]]*Table1[[#This Row],[Quantity]]</f>
        <v>1002.99</v>
      </c>
    </row>
    <row r="230" spans="1:10" x14ac:dyDescent="0.3">
      <c r="A230">
        <v>10680</v>
      </c>
      <c r="B230" s="1">
        <v>46133.234726689807</v>
      </c>
      <c r="C230" t="s">
        <v>24</v>
      </c>
      <c r="D230">
        <v>12.99</v>
      </c>
      <c r="E230" t="s">
        <v>21</v>
      </c>
      <c r="F230" t="s">
        <v>58</v>
      </c>
      <c r="G230" t="s">
        <v>23</v>
      </c>
      <c r="H230" t="s">
        <v>105</v>
      </c>
      <c r="I230">
        <v>648</v>
      </c>
      <c r="J230">
        <f>Table1[[#This Row],[Price]]*Table1[[#This Row],[Quantity]]</f>
        <v>8417.52</v>
      </c>
    </row>
    <row r="231" spans="1:10" x14ac:dyDescent="0.3">
      <c r="A231">
        <v>10681</v>
      </c>
      <c r="B231" s="1">
        <v>46133.71382636574</v>
      </c>
      <c r="C231" t="s">
        <v>29</v>
      </c>
      <c r="D231">
        <v>9.9499999999999993</v>
      </c>
      <c r="E231" t="s">
        <v>21</v>
      </c>
      <c r="F231" t="s">
        <v>58</v>
      </c>
      <c r="G231" t="s">
        <v>23</v>
      </c>
      <c r="H231" t="s">
        <v>105</v>
      </c>
      <c r="I231">
        <v>242</v>
      </c>
      <c r="J231">
        <f>Table1[[#This Row],[Price]]*Table1[[#This Row],[Quantity]]</f>
        <v>2407.8999999999996</v>
      </c>
    </row>
    <row r="232" spans="1:10" x14ac:dyDescent="0.3">
      <c r="A232">
        <v>10682</v>
      </c>
      <c r="B232" s="1">
        <v>46134.192926041673</v>
      </c>
      <c r="C232" t="s">
        <v>9</v>
      </c>
      <c r="D232">
        <v>3.49</v>
      </c>
      <c r="E232" t="s">
        <v>21</v>
      </c>
      <c r="F232" t="s">
        <v>58</v>
      </c>
      <c r="G232" t="s">
        <v>23</v>
      </c>
      <c r="H232" t="s">
        <v>105</v>
      </c>
      <c r="I232">
        <v>631</v>
      </c>
      <c r="J232">
        <f>Table1[[#This Row],[Price]]*Table1[[#This Row],[Quantity]]</f>
        <v>2202.19</v>
      </c>
    </row>
    <row r="233" spans="1:10" x14ac:dyDescent="0.3">
      <c r="A233">
        <v>10683</v>
      </c>
      <c r="B233" s="1">
        <v>46134.672025729167</v>
      </c>
      <c r="C233" t="s">
        <v>15</v>
      </c>
      <c r="D233">
        <v>2.95</v>
      </c>
      <c r="E233" t="s">
        <v>21</v>
      </c>
      <c r="F233" t="s">
        <v>58</v>
      </c>
      <c r="G233" t="s">
        <v>23</v>
      </c>
      <c r="H233" t="s">
        <v>105</v>
      </c>
      <c r="I233">
        <v>678</v>
      </c>
      <c r="J233">
        <f>Table1[[#This Row],[Price]]*Table1[[#This Row],[Quantity]]</f>
        <v>2000.1000000000001</v>
      </c>
    </row>
    <row r="234" spans="1:10" x14ac:dyDescent="0.3">
      <c r="A234">
        <v>10684</v>
      </c>
      <c r="B234" s="1">
        <v>46135.151125405093</v>
      </c>
      <c r="C234" t="s">
        <v>19</v>
      </c>
      <c r="D234">
        <v>4.99</v>
      </c>
      <c r="E234" t="s">
        <v>21</v>
      </c>
      <c r="F234" t="s">
        <v>58</v>
      </c>
      <c r="G234" t="s">
        <v>23</v>
      </c>
      <c r="H234" t="s">
        <v>105</v>
      </c>
      <c r="I234">
        <v>202</v>
      </c>
      <c r="J234">
        <f>Table1[[#This Row],[Price]]*Table1[[#This Row],[Quantity]]</f>
        <v>1007.98</v>
      </c>
    </row>
    <row r="235" spans="1:10" x14ac:dyDescent="0.3">
      <c r="A235">
        <v>10685</v>
      </c>
      <c r="B235" s="1">
        <v>46135.630225081019</v>
      </c>
      <c r="C235" t="s">
        <v>24</v>
      </c>
      <c r="D235">
        <v>12.99</v>
      </c>
      <c r="E235" t="s">
        <v>21</v>
      </c>
      <c r="F235" t="s">
        <v>58</v>
      </c>
      <c r="G235" t="s">
        <v>23</v>
      </c>
      <c r="H235" t="s">
        <v>105</v>
      </c>
      <c r="I235">
        <v>678</v>
      </c>
      <c r="J235">
        <f>Table1[[#This Row],[Price]]*Table1[[#This Row],[Quantity]]</f>
        <v>8807.2199999999993</v>
      </c>
    </row>
    <row r="236" spans="1:10" x14ac:dyDescent="0.3">
      <c r="A236">
        <v>10686</v>
      </c>
      <c r="B236" s="1">
        <v>46136.109324756937</v>
      </c>
      <c r="C236" t="s">
        <v>29</v>
      </c>
      <c r="D236">
        <v>9.9499999999999993</v>
      </c>
      <c r="E236" t="s">
        <v>21</v>
      </c>
      <c r="F236" t="s">
        <v>58</v>
      </c>
      <c r="G236" t="s">
        <v>23</v>
      </c>
      <c r="H236" t="s">
        <v>105</v>
      </c>
      <c r="I236">
        <v>242</v>
      </c>
      <c r="J236">
        <f>Table1[[#This Row],[Price]]*Table1[[#This Row],[Quantity]]</f>
        <v>2407.8999999999996</v>
      </c>
    </row>
    <row r="237" spans="1:10" x14ac:dyDescent="0.3">
      <c r="A237">
        <v>10687</v>
      </c>
      <c r="B237" s="1">
        <v>46136.58842443287</v>
      </c>
      <c r="C237" t="s">
        <v>9</v>
      </c>
      <c r="D237">
        <v>3.49</v>
      </c>
      <c r="E237" t="s">
        <v>21</v>
      </c>
      <c r="F237" t="s">
        <v>58</v>
      </c>
      <c r="G237" t="s">
        <v>28</v>
      </c>
      <c r="H237" t="s">
        <v>106</v>
      </c>
      <c r="I237">
        <v>631</v>
      </c>
      <c r="J237">
        <f>Table1[[#This Row],[Price]]*Table1[[#This Row],[Quantity]]</f>
        <v>2202.19</v>
      </c>
    </row>
    <row r="238" spans="1:10" x14ac:dyDescent="0.3">
      <c r="A238">
        <v>10688</v>
      </c>
      <c r="B238" s="1">
        <v>46137.067524120372</v>
      </c>
      <c r="C238" t="s">
        <v>15</v>
      </c>
      <c r="D238">
        <v>2.95</v>
      </c>
      <c r="E238" t="s">
        <v>21</v>
      </c>
      <c r="F238" t="s">
        <v>58</v>
      </c>
      <c r="G238" t="s">
        <v>28</v>
      </c>
      <c r="H238" t="s">
        <v>106</v>
      </c>
      <c r="I238">
        <v>679</v>
      </c>
      <c r="J238">
        <f>Table1[[#This Row],[Price]]*Table1[[#This Row],[Quantity]]</f>
        <v>2003.0500000000002</v>
      </c>
    </row>
    <row r="239" spans="1:10" x14ac:dyDescent="0.3">
      <c r="A239">
        <v>10689</v>
      </c>
      <c r="B239" s="1">
        <v>46137.546623796297</v>
      </c>
      <c r="C239" t="s">
        <v>19</v>
      </c>
      <c r="D239">
        <v>4.99</v>
      </c>
      <c r="E239" t="s">
        <v>21</v>
      </c>
      <c r="F239" t="s">
        <v>58</v>
      </c>
      <c r="G239" t="s">
        <v>28</v>
      </c>
      <c r="H239" t="s">
        <v>106</v>
      </c>
      <c r="I239">
        <v>201</v>
      </c>
      <c r="J239">
        <f>Table1[[#This Row],[Price]]*Table1[[#This Row],[Quantity]]</f>
        <v>1002.99</v>
      </c>
    </row>
    <row r="240" spans="1:10" x14ac:dyDescent="0.3">
      <c r="A240">
        <v>10690</v>
      </c>
      <c r="B240" s="1">
        <v>46138.025723472223</v>
      </c>
      <c r="C240" t="s">
        <v>24</v>
      </c>
      <c r="D240">
        <v>12.99</v>
      </c>
      <c r="E240" t="s">
        <v>21</v>
      </c>
      <c r="F240" t="s">
        <v>58</v>
      </c>
      <c r="G240" t="s">
        <v>28</v>
      </c>
      <c r="H240" t="s">
        <v>106</v>
      </c>
      <c r="I240">
        <v>679</v>
      </c>
      <c r="J240">
        <f>Table1[[#This Row],[Price]]*Table1[[#This Row],[Quantity]]</f>
        <v>8820.2100000000009</v>
      </c>
    </row>
    <row r="241" spans="1:10" x14ac:dyDescent="0.3">
      <c r="A241">
        <v>10691</v>
      </c>
      <c r="B241" s="1">
        <v>46138.504823148149</v>
      </c>
      <c r="C241" t="s">
        <v>29</v>
      </c>
      <c r="D241">
        <v>9.9499999999999993</v>
      </c>
      <c r="E241" t="s">
        <v>21</v>
      </c>
      <c r="F241" t="s">
        <v>58</v>
      </c>
      <c r="G241" t="s">
        <v>28</v>
      </c>
      <c r="H241" t="s">
        <v>106</v>
      </c>
      <c r="I241">
        <v>262</v>
      </c>
      <c r="J241">
        <f>Table1[[#This Row],[Price]]*Table1[[#This Row],[Quantity]]</f>
        <v>2606.8999999999996</v>
      </c>
    </row>
    <row r="242" spans="1:10" x14ac:dyDescent="0.3">
      <c r="A242">
        <v>10692</v>
      </c>
      <c r="B242" s="1">
        <v>46138.983922824067</v>
      </c>
      <c r="C242" t="s">
        <v>9</v>
      </c>
      <c r="D242">
        <v>3.49</v>
      </c>
      <c r="E242" t="s">
        <v>21</v>
      </c>
      <c r="F242" t="s">
        <v>58</v>
      </c>
      <c r="G242" t="s">
        <v>28</v>
      </c>
      <c r="H242" t="s">
        <v>106</v>
      </c>
      <c r="I242">
        <v>631</v>
      </c>
      <c r="J242">
        <f>Table1[[#This Row],[Price]]*Table1[[#This Row],[Quantity]]</f>
        <v>2202.19</v>
      </c>
    </row>
    <row r="243" spans="1:10" x14ac:dyDescent="0.3">
      <c r="A243">
        <v>10693</v>
      </c>
      <c r="B243" s="1">
        <v>46139.463022511583</v>
      </c>
      <c r="C243" t="s">
        <v>15</v>
      </c>
      <c r="D243">
        <v>2.95</v>
      </c>
      <c r="E243" t="s">
        <v>21</v>
      </c>
      <c r="F243" t="s">
        <v>58</v>
      </c>
      <c r="G243" t="s">
        <v>28</v>
      </c>
      <c r="H243" t="s">
        <v>106</v>
      </c>
      <c r="I243">
        <v>678</v>
      </c>
      <c r="J243">
        <f>Table1[[#This Row],[Price]]*Table1[[#This Row],[Quantity]]</f>
        <v>2000.1000000000001</v>
      </c>
    </row>
    <row r="244" spans="1:10" x14ac:dyDescent="0.3">
      <c r="A244">
        <v>10694</v>
      </c>
      <c r="B244" s="1">
        <v>46139.942122187502</v>
      </c>
      <c r="C244" t="s">
        <v>19</v>
      </c>
      <c r="D244">
        <v>4.99</v>
      </c>
      <c r="E244" t="s">
        <v>21</v>
      </c>
      <c r="F244" t="s">
        <v>58</v>
      </c>
      <c r="G244" t="s">
        <v>28</v>
      </c>
      <c r="H244" t="s">
        <v>106</v>
      </c>
      <c r="I244">
        <v>201</v>
      </c>
      <c r="J244">
        <f>Table1[[#This Row],[Price]]*Table1[[#This Row],[Quantity]]</f>
        <v>1002.99</v>
      </c>
    </row>
    <row r="245" spans="1:10" x14ac:dyDescent="0.3">
      <c r="A245">
        <v>10695</v>
      </c>
      <c r="B245" s="1">
        <v>46140.421221863427</v>
      </c>
      <c r="C245" t="s">
        <v>24</v>
      </c>
      <c r="D245">
        <v>12.99</v>
      </c>
      <c r="E245" t="s">
        <v>21</v>
      </c>
      <c r="F245" t="s">
        <v>58</v>
      </c>
      <c r="G245" t="s">
        <v>28</v>
      </c>
      <c r="H245" t="s">
        <v>106</v>
      </c>
      <c r="I245">
        <v>693</v>
      </c>
      <c r="J245">
        <f>Table1[[#This Row],[Price]]*Table1[[#This Row],[Quantity]]</f>
        <v>9002.07</v>
      </c>
    </row>
    <row r="246" spans="1:10" x14ac:dyDescent="0.3">
      <c r="A246">
        <v>10696</v>
      </c>
      <c r="B246" s="1">
        <v>46140.900321539353</v>
      </c>
      <c r="C246" t="s">
        <v>29</v>
      </c>
      <c r="D246">
        <v>9.9499999999999993</v>
      </c>
      <c r="E246" t="s">
        <v>21</v>
      </c>
      <c r="F246" t="s">
        <v>58</v>
      </c>
      <c r="G246" t="s">
        <v>28</v>
      </c>
      <c r="H246" t="s">
        <v>106</v>
      </c>
      <c r="I246">
        <v>283</v>
      </c>
      <c r="J246">
        <f>Table1[[#This Row],[Price]]*Table1[[#This Row],[Quantity]]</f>
        <v>2815.85</v>
      </c>
    </row>
    <row r="247" spans="1:10" x14ac:dyDescent="0.3">
      <c r="A247">
        <v>10697</v>
      </c>
      <c r="B247" s="1">
        <v>46141.379421226848</v>
      </c>
      <c r="C247" t="s">
        <v>9</v>
      </c>
      <c r="D247">
        <v>3.49</v>
      </c>
      <c r="E247" t="s">
        <v>21</v>
      </c>
      <c r="F247" t="s">
        <v>58</v>
      </c>
      <c r="G247" t="s">
        <v>28</v>
      </c>
      <c r="H247" t="s">
        <v>106</v>
      </c>
      <c r="I247">
        <v>631</v>
      </c>
      <c r="J247">
        <f>Table1[[#This Row],[Price]]*Table1[[#This Row],[Quantity]]</f>
        <v>2202.19</v>
      </c>
    </row>
    <row r="248" spans="1:10" x14ac:dyDescent="0.3">
      <c r="A248">
        <v>10698</v>
      </c>
      <c r="B248" s="1">
        <v>46141.858520902781</v>
      </c>
      <c r="C248" t="s">
        <v>15</v>
      </c>
      <c r="D248">
        <v>2.95</v>
      </c>
      <c r="E248" t="s">
        <v>21</v>
      </c>
      <c r="F248" t="s">
        <v>58</v>
      </c>
      <c r="G248" t="s">
        <v>28</v>
      </c>
      <c r="H248" t="s">
        <v>106</v>
      </c>
      <c r="I248">
        <v>679</v>
      </c>
      <c r="J248">
        <f>Table1[[#This Row],[Price]]*Table1[[#This Row],[Quantity]]</f>
        <v>2003.0500000000002</v>
      </c>
    </row>
    <row r="249" spans="1:10" x14ac:dyDescent="0.3">
      <c r="A249">
        <v>10699</v>
      </c>
      <c r="B249" s="1">
        <v>46142.337620578714</v>
      </c>
      <c r="C249" t="s">
        <v>19</v>
      </c>
      <c r="D249">
        <v>4.99</v>
      </c>
      <c r="E249" t="s">
        <v>21</v>
      </c>
      <c r="F249" t="s">
        <v>58</v>
      </c>
      <c r="G249" t="s">
        <v>28</v>
      </c>
      <c r="H249" t="s">
        <v>106</v>
      </c>
      <c r="I249">
        <v>201</v>
      </c>
      <c r="J249">
        <f>Table1[[#This Row],[Price]]*Table1[[#This Row],[Quantity]]</f>
        <v>1002.99</v>
      </c>
    </row>
    <row r="250" spans="1:10" x14ac:dyDescent="0.3">
      <c r="A250">
        <v>10700</v>
      </c>
      <c r="B250" s="1">
        <v>46142.816720254632</v>
      </c>
      <c r="C250" t="s">
        <v>24</v>
      </c>
      <c r="D250">
        <v>12.99</v>
      </c>
      <c r="E250" t="s">
        <v>21</v>
      </c>
      <c r="F250" t="s">
        <v>58</v>
      </c>
      <c r="G250" t="s">
        <v>28</v>
      </c>
      <c r="H250" t="s">
        <v>106</v>
      </c>
      <c r="I250">
        <v>694</v>
      </c>
      <c r="J250">
        <f>Table1[[#This Row],[Price]]*Table1[[#This Row],[Quantity]]</f>
        <v>9015.06</v>
      </c>
    </row>
    <row r="251" spans="1:10" x14ac:dyDescent="0.3">
      <c r="A251">
        <v>10701</v>
      </c>
      <c r="B251" s="1">
        <v>46143.295819930558</v>
      </c>
      <c r="C251" t="s">
        <v>29</v>
      </c>
      <c r="D251">
        <v>9.9499999999999993</v>
      </c>
      <c r="E251" t="s">
        <v>21</v>
      </c>
      <c r="F251" t="s">
        <v>58</v>
      </c>
      <c r="G251" t="s">
        <v>28</v>
      </c>
      <c r="H251" t="s">
        <v>106</v>
      </c>
      <c r="I251">
        <v>283</v>
      </c>
      <c r="J251">
        <f>Table1[[#This Row],[Price]]*Table1[[#This Row],[Quantity]]</f>
        <v>2815.85</v>
      </c>
    </row>
    <row r="252" spans="1:10" x14ac:dyDescent="0.3">
      <c r="A252">
        <v>10702</v>
      </c>
      <c r="B252" s="1">
        <v>46143.774919618052</v>
      </c>
      <c r="C252" t="s">
        <v>9</v>
      </c>
      <c r="D252">
        <v>3.49</v>
      </c>
      <c r="E252" t="s">
        <v>21</v>
      </c>
      <c r="F252" t="s">
        <v>58</v>
      </c>
      <c r="G252" t="s">
        <v>28</v>
      </c>
      <c r="H252" t="s">
        <v>106</v>
      </c>
      <c r="I252">
        <v>632</v>
      </c>
      <c r="J252">
        <f>Table1[[#This Row],[Price]]*Table1[[#This Row],[Quantity]]</f>
        <v>2205.6800000000003</v>
      </c>
    </row>
    <row r="253" spans="1:10" x14ac:dyDescent="0.3">
      <c r="A253">
        <v>10703</v>
      </c>
      <c r="B253" s="1">
        <v>46144.254019293992</v>
      </c>
      <c r="C253" t="s">
        <v>15</v>
      </c>
      <c r="D253">
        <v>2.95</v>
      </c>
      <c r="E253" t="s">
        <v>21</v>
      </c>
      <c r="F253" t="s">
        <v>12</v>
      </c>
      <c r="G253" t="s">
        <v>28</v>
      </c>
      <c r="H253" t="s">
        <v>106</v>
      </c>
      <c r="I253">
        <v>679</v>
      </c>
      <c r="J253">
        <f>Table1[[#This Row],[Price]]*Table1[[#This Row],[Quantity]]</f>
        <v>2003.0500000000002</v>
      </c>
    </row>
    <row r="254" spans="1:10" x14ac:dyDescent="0.3">
      <c r="A254">
        <v>10704</v>
      </c>
      <c r="B254" s="1">
        <v>46144.733118969911</v>
      </c>
      <c r="C254" t="s">
        <v>19</v>
      </c>
      <c r="D254">
        <v>4.99</v>
      </c>
      <c r="E254" t="s">
        <v>57</v>
      </c>
      <c r="F254" t="s">
        <v>12</v>
      </c>
      <c r="G254" t="s">
        <v>28</v>
      </c>
      <c r="H254" t="s">
        <v>106</v>
      </c>
      <c r="I254">
        <v>201</v>
      </c>
      <c r="J254">
        <f>Table1[[#This Row],[Price]]*Table1[[#This Row],[Quantity]]</f>
        <v>1002.99</v>
      </c>
    </row>
    <row r="255" spans="1:10" x14ac:dyDescent="0.3">
      <c r="A255">
        <v>10705</v>
      </c>
      <c r="B255" s="1">
        <v>46145.212218645836</v>
      </c>
      <c r="C255" t="s">
        <v>24</v>
      </c>
      <c r="D255">
        <v>12.99</v>
      </c>
      <c r="E255" t="s">
        <v>57</v>
      </c>
      <c r="F255" t="s">
        <v>12</v>
      </c>
      <c r="G255" t="s">
        <v>28</v>
      </c>
      <c r="H255" t="s">
        <v>106</v>
      </c>
      <c r="I255">
        <v>724</v>
      </c>
      <c r="J255">
        <f>Table1[[#This Row],[Price]]*Table1[[#This Row],[Quantity]]</f>
        <v>9404.76</v>
      </c>
    </row>
    <row r="256" spans="1:10" x14ac:dyDescent="0.3">
      <c r="A256">
        <v>10706</v>
      </c>
      <c r="B256" s="1">
        <v>46145.691318333331</v>
      </c>
      <c r="C256" t="s">
        <v>29</v>
      </c>
      <c r="D256">
        <v>9.9499999999999993</v>
      </c>
      <c r="E256" t="s">
        <v>57</v>
      </c>
      <c r="F256" t="s">
        <v>12</v>
      </c>
      <c r="G256" t="s">
        <v>28</v>
      </c>
      <c r="H256" t="s">
        <v>106</v>
      </c>
      <c r="I256">
        <v>302</v>
      </c>
      <c r="J256">
        <f>Table1[[#This Row],[Price]]*Table1[[#This Row],[Quantity]]</f>
        <v>3004.8999999999996</v>
      </c>
    </row>
    <row r="257" spans="1:10" x14ac:dyDescent="0.3">
      <c r="A257">
        <v>10707</v>
      </c>
      <c r="B257" s="1">
        <v>46146.170418009257</v>
      </c>
      <c r="C257" t="s">
        <v>9</v>
      </c>
      <c r="D257">
        <v>3.49</v>
      </c>
      <c r="E257" t="s">
        <v>57</v>
      </c>
      <c r="F257" t="s">
        <v>12</v>
      </c>
      <c r="G257" t="s">
        <v>28</v>
      </c>
      <c r="H257" t="s">
        <v>106</v>
      </c>
      <c r="I257">
        <v>631</v>
      </c>
      <c r="J257">
        <f>Table1[[#This Row],[Price]]*Table1[[#This Row],[Quantity]]</f>
        <v>2202.19</v>
      </c>
    </row>
    <row r="258" spans="1:10" x14ac:dyDescent="0.3">
      <c r="A258">
        <v>10708</v>
      </c>
      <c r="B258" s="1">
        <v>46146.649517685182</v>
      </c>
      <c r="C258" t="s">
        <v>15</v>
      </c>
      <c r="D258">
        <v>2.95</v>
      </c>
      <c r="E258" t="s">
        <v>57</v>
      </c>
      <c r="F258" t="s">
        <v>12</v>
      </c>
      <c r="G258" t="s">
        <v>28</v>
      </c>
      <c r="H258" t="s">
        <v>106</v>
      </c>
      <c r="I258">
        <v>678</v>
      </c>
      <c r="J258">
        <f>Table1[[#This Row],[Price]]*Table1[[#This Row],[Quantity]]</f>
        <v>2000.1000000000001</v>
      </c>
    </row>
    <row r="259" spans="1:10" x14ac:dyDescent="0.3">
      <c r="A259">
        <v>10709</v>
      </c>
      <c r="B259" s="1">
        <v>46147.128617361108</v>
      </c>
      <c r="C259" t="s">
        <v>19</v>
      </c>
      <c r="D259">
        <v>4.99</v>
      </c>
      <c r="E259" t="s">
        <v>57</v>
      </c>
      <c r="F259" t="s">
        <v>12</v>
      </c>
      <c r="G259" t="s">
        <v>28</v>
      </c>
      <c r="H259" t="s">
        <v>106</v>
      </c>
      <c r="I259">
        <v>201</v>
      </c>
      <c r="J259">
        <f>Table1[[#This Row],[Price]]*Table1[[#This Row],[Quantity]]</f>
        <v>1002.99</v>
      </c>
    </row>
    <row r="260" spans="1:10" x14ac:dyDescent="0.3">
      <c r="A260">
        <v>10710</v>
      </c>
      <c r="B260" s="1">
        <v>46147.607717037034</v>
      </c>
      <c r="C260" t="s">
        <v>24</v>
      </c>
      <c r="D260">
        <v>12.99</v>
      </c>
      <c r="E260" t="s">
        <v>57</v>
      </c>
      <c r="F260" t="s">
        <v>12</v>
      </c>
      <c r="G260" t="s">
        <v>28</v>
      </c>
      <c r="H260" t="s">
        <v>106</v>
      </c>
      <c r="I260">
        <v>755</v>
      </c>
      <c r="J260">
        <f>Table1[[#This Row],[Price]]*Table1[[#This Row],[Quantity]]</f>
        <v>9807.4500000000007</v>
      </c>
    </row>
    <row r="261" spans="1:10" x14ac:dyDescent="0.3">
      <c r="A261">
        <v>10711</v>
      </c>
      <c r="B261" s="1">
        <v>46148.086816724543</v>
      </c>
      <c r="C261" t="s">
        <v>29</v>
      </c>
      <c r="D261">
        <v>9.9499999999999993</v>
      </c>
      <c r="E261" t="s">
        <v>57</v>
      </c>
      <c r="F261" t="s">
        <v>12</v>
      </c>
      <c r="G261" t="s">
        <v>28</v>
      </c>
      <c r="H261" t="s">
        <v>106</v>
      </c>
      <c r="I261">
        <v>282</v>
      </c>
      <c r="J261">
        <f>Table1[[#This Row],[Price]]*Table1[[#This Row],[Quantity]]</f>
        <v>2805.8999999999996</v>
      </c>
    </row>
    <row r="262" spans="1:10" x14ac:dyDescent="0.3">
      <c r="A262">
        <v>10712</v>
      </c>
      <c r="B262" s="1">
        <v>46148.565916400461</v>
      </c>
      <c r="C262" t="s">
        <v>9</v>
      </c>
      <c r="D262">
        <v>3.49</v>
      </c>
      <c r="E262" t="s">
        <v>57</v>
      </c>
      <c r="F262" t="s">
        <v>12</v>
      </c>
      <c r="G262" t="s">
        <v>28</v>
      </c>
      <c r="H262" t="s">
        <v>106</v>
      </c>
      <c r="I262">
        <v>631</v>
      </c>
      <c r="J262">
        <f>Table1[[#This Row],[Price]]*Table1[[#This Row],[Quantity]]</f>
        <v>2202.19</v>
      </c>
    </row>
    <row r="263" spans="1:10" x14ac:dyDescent="0.3">
      <c r="A263">
        <v>10713</v>
      </c>
      <c r="B263" s="1">
        <v>46149.045016076387</v>
      </c>
      <c r="C263" t="s">
        <v>15</v>
      </c>
      <c r="D263">
        <v>2.95</v>
      </c>
      <c r="E263" t="s">
        <v>57</v>
      </c>
      <c r="F263" t="s">
        <v>12</v>
      </c>
      <c r="G263" t="s">
        <v>28</v>
      </c>
      <c r="H263" t="s">
        <v>106</v>
      </c>
      <c r="I263">
        <v>679</v>
      </c>
      <c r="J263">
        <f>Table1[[#This Row],[Price]]*Table1[[#This Row],[Quantity]]</f>
        <v>2003.0500000000002</v>
      </c>
    </row>
    <row r="264" spans="1:10" x14ac:dyDescent="0.3">
      <c r="A264">
        <v>10714</v>
      </c>
      <c r="B264" s="1">
        <v>46149.524115752312</v>
      </c>
      <c r="C264" t="s">
        <v>19</v>
      </c>
      <c r="D264">
        <v>5.24</v>
      </c>
      <c r="E264" t="s">
        <v>11</v>
      </c>
      <c r="F264" t="s">
        <v>58</v>
      </c>
      <c r="G264" t="s">
        <v>23</v>
      </c>
      <c r="H264" t="s">
        <v>105</v>
      </c>
      <c r="I264">
        <v>201</v>
      </c>
      <c r="J264">
        <f>Table1[[#This Row],[Price]]*Table1[[#This Row],[Quantity]]</f>
        <v>1053.24</v>
      </c>
    </row>
    <row r="265" spans="1:10" x14ac:dyDescent="0.3">
      <c r="A265">
        <v>10715</v>
      </c>
      <c r="B265" s="1">
        <v>46150.003215439807</v>
      </c>
      <c r="C265" t="s">
        <v>19</v>
      </c>
      <c r="D265">
        <v>5.03</v>
      </c>
      <c r="E265" t="s">
        <v>21</v>
      </c>
      <c r="F265" t="s">
        <v>26</v>
      </c>
      <c r="G265" t="s">
        <v>18</v>
      </c>
      <c r="H265" t="s">
        <v>104</v>
      </c>
      <c r="I265">
        <v>201</v>
      </c>
      <c r="J265">
        <f>Table1[[#This Row],[Price]]*Table1[[#This Row],[Quantity]]</f>
        <v>1011.0300000000001</v>
      </c>
    </row>
    <row r="266" spans="1:10" x14ac:dyDescent="0.3">
      <c r="A266">
        <v>10716</v>
      </c>
      <c r="B266" s="1">
        <v>46150.48231511574</v>
      </c>
      <c r="C266" t="s">
        <v>19</v>
      </c>
      <c r="D266">
        <v>5.01</v>
      </c>
      <c r="E266" t="s">
        <v>11</v>
      </c>
      <c r="F266" t="s">
        <v>26</v>
      </c>
      <c r="G266" t="s">
        <v>14</v>
      </c>
      <c r="H266" t="s">
        <v>103</v>
      </c>
      <c r="I266">
        <v>202</v>
      </c>
      <c r="J266">
        <f>Table1[[#This Row],[Price]]*Table1[[#This Row],[Quantity]]</f>
        <v>1012.02</v>
      </c>
    </row>
    <row r="267" spans="1:10" x14ac:dyDescent="0.3">
      <c r="A267">
        <v>10717</v>
      </c>
      <c r="B267" s="1">
        <v>46150.961414791673</v>
      </c>
      <c r="C267" t="s">
        <v>19</v>
      </c>
      <c r="D267">
        <v>4.78</v>
      </c>
      <c r="E267" t="s">
        <v>11</v>
      </c>
      <c r="F267" t="s">
        <v>26</v>
      </c>
      <c r="G267" t="s">
        <v>14</v>
      </c>
      <c r="H267" t="s">
        <v>103</v>
      </c>
      <c r="I267">
        <v>202</v>
      </c>
      <c r="J267">
        <f>Table1[[#This Row],[Price]]*Table1[[#This Row],[Quantity]]</f>
        <v>965.56000000000006</v>
      </c>
    </row>
    <row r="268" spans="1:10" x14ac:dyDescent="0.3">
      <c r="A268">
        <v>10718</v>
      </c>
      <c r="B268" s="1">
        <v>46151.440514467591</v>
      </c>
      <c r="C268" t="s">
        <v>19</v>
      </c>
      <c r="D268">
        <v>4.67</v>
      </c>
      <c r="E268" t="s">
        <v>57</v>
      </c>
      <c r="F268" t="s">
        <v>26</v>
      </c>
      <c r="G268" t="s">
        <v>18</v>
      </c>
      <c r="H268" t="s">
        <v>104</v>
      </c>
      <c r="I268">
        <v>201</v>
      </c>
      <c r="J268">
        <f>Table1[[#This Row],[Price]]*Table1[[#This Row],[Quantity]]</f>
        <v>938.67</v>
      </c>
    </row>
    <row r="269" spans="1:10" x14ac:dyDescent="0.3">
      <c r="A269">
        <v>10719</v>
      </c>
      <c r="B269" s="1">
        <v>46151.919614143517</v>
      </c>
      <c r="C269" t="s">
        <v>24</v>
      </c>
      <c r="D269">
        <v>13.82</v>
      </c>
      <c r="E269" t="s">
        <v>11</v>
      </c>
      <c r="F269" t="s">
        <v>12</v>
      </c>
      <c r="G269" t="s">
        <v>14</v>
      </c>
      <c r="H269" t="s">
        <v>103</v>
      </c>
      <c r="I269">
        <v>586</v>
      </c>
      <c r="J269">
        <f>Table1[[#This Row],[Price]]*Table1[[#This Row],[Quantity]]</f>
        <v>8098.52</v>
      </c>
    </row>
    <row r="270" spans="1:10" x14ac:dyDescent="0.3">
      <c r="A270">
        <v>10720</v>
      </c>
      <c r="B270" s="1">
        <v>46152.398713831019</v>
      </c>
      <c r="C270" t="s">
        <v>19</v>
      </c>
      <c r="D270">
        <v>5.31</v>
      </c>
      <c r="E270" t="s">
        <v>21</v>
      </c>
      <c r="F270" t="s">
        <v>12</v>
      </c>
      <c r="G270" t="s">
        <v>23</v>
      </c>
      <c r="H270" t="s">
        <v>105</v>
      </c>
      <c r="I270">
        <v>202</v>
      </c>
      <c r="J270">
        <f>Table1[[#This Row],[Price]]*Table1[[#This Row],[Quantity]]</f>
        <v>1072.6199999999999</v>
      </c>
    </row>
    <row r="271" spans="1:10" x14ac:dyDescent="0.3">
      <c r="A271">
        <v>10721</v>
      </c>
      <c r="B271" s="1">
        <v>46152.877813506937</v>
      </c>
      <c r="C271" t="s">
        <v>19</v>
      </c>
      <c r="D271">
        <v>5.0999999999999996</v>
      </c>
      <c r="E271" t="s">
        <v>11</v>
      </c>
      <c r="F271" t="s">
        <v>12</v>
      </c>
      <c r="G271" t="s">
        <v>23</v>
      </c>
      <c r="H271" t="s">
        <v>105</v>
      </c>
      <c r="I271">
        <v>201</v>
      </c>
      <c r="J271">
        <f>Table1[[#This Row],[Price]]*Table1[[#This Row],[Quantity]]</f>
        <v>1025.0999999999999</v>
      </c>
    </row>
    <row r="272" spans="1:10" x14ac:dyDescent="0.3">
      <c r="A272">
        <v>10722</v>
      </c>
      <c r="B272" s="1">
        <v>46153.35691318287</v>
      </c>
      <c r="C272" t="s">
        <v>29</v>
      </c>
      <c r="D272">
        <v>9.69</v>
      </c>
      <c r="E272" t="s">
        <v>21</v>
      </c>
      <c r="F272" t="s">
        <v>26</v>
      </c>
      <c r="G272" t="s">
        <v>18</v>
      </c>
      <c r="H272" t="s">
        <v>104</v>
      </c>
      <c r="I272">
        <v>203</v>
      </c>
      <c r="J272">
        <f>Table1[[#This Row],[Price]]*Table1[[#This Row],[Quantity]]</f>
        <v>1967.07</v>
      </c>
    </row>
    <row r="273" spans="1:10" x14ac:dyDescent="0.3">
      <c r="A273">
        <v>10723</v>
      </c>
      <c r="B273" s="1">
        <v>46153.836012858803</v>
      </c>
      <c r="C273" t="s">
        <v>9</v>
      </c>
      <c r="D273">
        <v>3.41</v>
      </c>
      <c r="E273" t="s">
        <v>11</v>
      </c>
      <c r="F273" t="s">
        <v>12</v>
      </c>
      <c r="G273" t="s">
        <v>14</v>
      </c>
      <c r="H273" t="s">
        <v>103</v>
      </c>
      <c r="I273">
        <v>632</v>
      </c>
      <c r="J273">
        <f>Table1[[#This Row],[Price]]*Table1[[#This Row],[Quantity]]</f>
        <v>2155.12</v>
      </c>
    </row>
    <row r="274" spans="1:10" x14ac:dyDescent="0.3">
      <c r="A274">
        <v>10724</v>
      </c>
      <c r="B274" s="1">
        <v>46154.315112534721</v>
      </c>
      <c r="C274" t="s">
        <v>15</v>
      </c>
      <c r="D274">
        <v>3.06</v>
      </c>
      <c r="E274" t="s">
        <v>11</v>
      </c>
      <c r="F274" t="s">
        <v>26</v>
      </c>
      <c r="G274" t="s">
        <v>14</v>
      </c>
      <c r="H274" t="s">
        <v>103</v>
      </c>
      <c r="I274">
        <v>679</v>
      </c>
      <c r="J274">
        <f>Table1[[#This Row],[Price]]*Table1[[#This Row],[Quantity]]</f>
        <v>2077.7400000000002</v>
      </c>
    </row>
    <row r="275" spans="1:10" x14ac:dyDescent="0.3">
      <c r="A275">
        <v>10725</v>
      </c>
      <c r="B275" s="1">
        <v>46154.794212222223</v>
      </c>
      <c r="C275" t="s">
        <v>24</v>
      </c>
      <c r="D275">
        <v>13.82</v>
      </c>
      <c r="E275" t="s">
        <v>11</v>
      </c>
      <c r="F275" t="s">
        <v>26</v>
      </c>
      <c r="G275" t="s">
        <v>14</v>
      </c>
      <c r="H275" t="s">
        <v>103</v>
      </c>
      <c r="I275">
        <v>540</v>
      </c>
      <c r="J275">
        <f>Table1[[#This Row],[Price]]*Table1[[#This Row],[Quantity]]</f>
        <v>7462.8</v>
      </c>
    </row>
    <row r="276" spans="1:10" x14ac:dyDescent="0.3">
      <c r="A276">
        <v>10726</v>
      </c>
      <c r="B276" s="1">
        <v>46155.273311898149</v>
      </c>
      <c r="C276" t="s">
        <v>15</v>
      </c>
      <c r="D276">
        <v>3.13</v>
      </c>
      <c r="E276" t="s">
        <v>11</v>
      </c>
      <c r="F276" t="s">
        <v>12</v>
      </c>
      <c r="G276" t="s">
        <v>14</v>
      </c>
      <c r="H276" t="s">
        <v>103</v>
      </c>
      <c r="I276">
        <v>679</v>
      </c>
      <c r="J276">
        <f>Table1[[#This Row],[Price]]*Table1[[#This Row],[Quantity]]</f>
        <v>2125.27</v>
      </c>
    </row>
    <row r="277" spans="1:10" x14ac:dyDescent="0.3">
      <c r="A277">
        <v>10727</v>
      </c>
      <c r="B277" s="1">
        <v>46155.752411574067</v>
      </c>
      <c r="C277" t="s">
        <v>9</v>
      </c>
      <c r="D277">
        <v>3.65</v>
      </c>
      <c r="E277" t="s">
        <v>11</v>
      </c>
      <c r="F277" t="s">
        <v>26</v>
      </c>
      <c r="G277" t="s">
        <v>33</v>
      </c>
      <c r="H277" t="s">
        <v>107</v>
      </c>
      <c r="I277">
        <v>574</v>
      </c>
      <c r="J277">
        <f>Table1[[#This Row],[Price]]*Table1[[#This Row],[Quantity]]</f>
        <v>2095.1</v>
      </c>
    </row>
    <row r="278" spans="1:10" x14ac:dyDescent="0.3">
      <c r="A278">
        <v>10728</v>
      </c>
      <c r="B278" s="1">
        <v>46156.23151125</v>
      </c>
      <c r="C278" t="s">
        <v>29</v>
      </c>
      <c r="D278">
        <v>10.18</v>
      </c>
      <c r="E278" t="s">
        <v>57</v>
      </c>
      <c r="F278" t="s">
        <v>26</v>
      </c>
      <c r="G278" t="s">
        <v>14</v>
      </c>
      <c r="H278" t="s">
        <v>103</v>
      </c>
      <c r="I278">
        <v>203</v>
      </c>
      <c r="J278">
        <f>Table1[[#This Row],[Price]]*Table1[[#This Row],[Quantity]]</f>
        <v>2066.54</v>
      </c>
    </row>
    <row r="279" spans="1:10" x14ac:dyDescent="0.3">
      <c r="A279">
        <v>10729</v>
      </c>
      <c r="B279" s="1">
        <v>46156.710610937502</v>
      </c>
      <c r="C279" t="s">
        <v>24</v>
      </c>
      <c r="D279">
        <v>12.13</v>
      </c>
      <c r="E279" t="s">
        <v>21</v>
      </c>
      <c r="F279" t="s">
        <v>58</v>
      </c>
      <c r="G279" t="s">
        <v>23</v>
      </c>
      <c r="H279" t="s">
        <v>105</v>
      </c>
      <c r="I279">
        <v>648</v>
      </c>
      <c r="J279">
        <f>Table1[[#This Row],[Price]]*Table1[[#This Row],[Quantity]]</f>
        <v>7860.2400000000007</v>
      </c>
    </row>
    <row r="280" spans="1:10" x14ac:dyDescent="0.3">
      <c r="A280">
        <v>10730</v>
      </c>
      <c r="B280" s="1">
        <v>46157.189710613427</v>
      </c>
      <c r="C280" t="s">
        <v>9</v>
      </c>
      <c r="D280">
        <v>3.3</v>
      </c>
      <c r="E280" t="s">
        <v>11</v>
      </c>
      <c r="F280" t="s">
        <v>26</v>
      </c>
      <c r="G280" t="s">
        <v>14</v>
      </c>
      <c r="H280" t="s">
        <v>103</v>
      </c>
      <c r="I280">
        <v>632</v>
      </c>
      <c r="J280">
        <f>Table1[[#This Row],[Price]]*Table1[[#This Row],[Quantity]]</f>
        <v>2085.6</v>
      </c>
    </row>
    <row r="281" spans="1:10" x14ac:dyDescent="0.3">
      <c r="A281">
        <v>10731</v>
      </c>
      <c r="B281" s="1">
        <v>46157.668810289353</v>
      </c>
      <c r="C281" t="s">
        <v>9</v>
      </c>
      <c r="D281">
        <v>3.71</v>
      </c>
      <c r="E281" t="s">
        <v>11</v>
      </c>
      <c r="F281" t="s">
        <v>58</v>
      </c>
      <c r="G281" t="s">
        <v>14</v>
      </c>
      <c r="H281" t="s">
        <v>103</v>
      </c>
      <c r="I281">
        <v>632</v>
      </c>
      <c r="J281">
        <f>Table1[[#This Row],[Price]]*Table1[[#This Row],[Quantity]]</f>
        <v>2344.7199999999998</v>
      </c>
    </row>
    <row r="282" spans="1:10" x14ac:dyDescent="0.3">
      <c r="A282">
        <v>10732</v>
      </c>
      <c r="B282" s="1">
        <v>46158.147909965279</v>
      </c>
      <c r="C282" t="s">
        <v>19</v>
      </c>
      <c r="D282">
        <v>5.07</v>
      </c>
      <c r="E282" t="s">
        <v>11</v>
      </c>
      <c r="F282" t="s">
        <v>26</v>
      </c>
      <c r="G282" t="s">
        <v>33</v>
      </c>
      <c r="H282" t="s">
        <v>107</v>
      </c>
      <c r="I282">
        <v>202</v>
      </c>
      <c r="J282">
        <f>Table1[[#This Row],[Price]]*Table1[[#This Row],[Quantity]]</f>
        <v>1024.1400000000001</v>
      </c>
    </row>
    <row r="283" spans="1:10" x14ac:dyDescent="0.3">
      <c r="A283">
        <v>10733</v>
      </c>
      <c r="B283" s="1">
        <v>46158.627009641197</v>
      </c>
      <c r="C283" t="s">
        <v>24</v>
      </c>
      <c r="D283">
        <v>11.97</v>
      </c>
      <c r="E283" t="s">
        <v>21</v>
      </c>
      <c r="F283" t="s">
        <v>26</v>
      </c>
      <c r="G283" t="s">
        <v>28</v>
      </c>
      <c r="H283" t="s">
        <v>106</v>
      </c>
      <c r="I283">
        <v>571</v>
      </c>
      <c r="J283">
        <f>Table1[[#This Row],[Price]]*Table1[[#This Row],[Quantity]]</f>
        <v>6834.8700000000008</v>
      </c>
    </row>
    <row r="284" spans="1:10" x14ac:dyDescent="0.3">
      <c r="A284">
        <v>10734</v>
      </c>
      <c r="B284" s="1">
        <v>46159.106109328714</v>
      </c>
      <c r="C284" t="s">
        <v>9</v>
      </c>
      <c r="D284">
        <v>3.27</v>
      </c>
      <c r="E284" t="s">
        <v>21</v>
      </c>
      <c r="F284" t="s">
        <v>58</v>
      </c>
      <c r="G284" t="s">
        <v>23</v>
      </c>
      <c r="H284" t="s">
        <v>105</v>
      </c>
      <c r="I284">
        <v>631</v>
      </c>
      <c r="J284">
        <f>Table1[[#This Row],[Price]]*Table1[[#This Row],[Quantity]]</f>
        <v>2063.37</v>
      </c>
    </row>
    <row r="285" spans="1:10" x14ac:dyDescent="0.3">
      <c r="A285">
        <v>10735</v>
      </c>
      <c r="B285" s="1">
        <v>46159.585209004632</v>
      </c>
      <c r="C285" t="s">
        <v>9</v>
      </c>
      <c r="D285">
        <v>3.58</v>
      </c>
      <c r="E285" t="s">
        <v>57</v>
      </c>
      <c r="F285" t="s">
        <v>26</v>
      </c>
      <c r="G285" t="s">
        <v>18</v>
      </c>
      <c r="H285" t="s">
        <v>104</v>
      </c>
      <c r="I285">
        <v>632</v>
      </c>
      <c r="J285">
        <f>Table1[[#This Row],[Price]]*Table1[[#This Row],[Quantity]]</f>
        <v>2262.56</v>
      </c>
    </row>
    <row r="286" spans="1:10" x14ac:dyDescent="0.3">
      <c r="A286">
        <v>10736</v>
      </c>
      <c r="B286" s="1">
        <v>46160.064308680558</v>
      </c>
      <c r="C286" t="s">
        <v>29</v>
      </c>
      <c r="D286">
        <v>9.16</v>
      </c>
      <c r="E286" t="s">
        <v>57</v>
      </c>
      <c r="F286" t="s">
        <v>12</v>
      </c>
      <c r="G286" t="s">
        <v>28</v>
      </c>
      <c r="H286" t="s">
        <v>106</v>
      </c>
      <c r="I286">
        <v>303</v>
      </c>
      <c r="J286">
        <f>Table1[[#This Row],[Price]]*Table1[[#This Row],[Quantity]]</f>
        <v>2775.48</v>
      </c>
    </row>
    <row r="287" spans="1:10" x14ac:dyDescent="0.3">
      <c r="A287">
        <v>10737</v>
      </c>
      <c r="B287" s="1">
        <v>46160.543408356483</v>
      </c>
      <c r="C287" t="s">
        <v>29</v>
      </c>
      <c r="D287">
        <v>9.41</v>
      </c>
      <c r="E287" t="s">
        <v>57</v>
      </c>
      <c r="F287" t="s">
        <v>58</v>
      </c>
      <c r="G287" t="s">
        <v>33</v>
      </c>
      <c r="H287" t="s">
        <v>107</v>
      </c>
      <c r="I287">
        <v>202</v>
      </c>
      <c r="J287">
        <f>Table1[[#This Row],[Price]]*Table1[[#This Row],[Quantity]]</f>
        <v>1900.82</v>
      </c>
    </row>
    <row r="288" spans="1:10" x14ac:dyDescent="0.3">
      <c r="A288">
        <v>10738</v>
      </c>
      <c r="B288" s="1">
        <v>46161.022508043978</v>
      </c>
      <c r="C288" t="s">
        <v>24</v>
      </c>
      <c r="D288">
        <v>13.09</v>
      </c>
      <c r="E288" t="s">
        <v>11</v>
      </c>
      <c r="F288" t="s">
        <v>26</v>
      </c>
      <c r="G288" t="s">
        <v>14</v>
      </c>
      <c r="H288" t="s">
        <v>103</v>
      </c>
      <c r="I288">
        <v>494</v>
      </c>
      <c r="J288">
        <f>Table1[[#This Row],[Price]]*Table1[[#This Row],[Quantity]]</f>
        <v>6466.46</v>
      </c>
    </row>
    <row r="289" spans="1:10" x14ac:dyDescent="0.3">
      <c r="A289">
        <v>10739</v>
      </c>
      <c r="B289" s="1">
        <v>46161.501607719911</v>
      </c>
      <c r="C289" t="s">
        <v>29</v>
      </c>
      <c r="D289">
        <v>10.26</v>
      </c>
      <c r="E289" t="s">
        <v>21</v>
      </c>
      <c r="F289" t="s">
        <v>58</v>
      </c>
      <c r="G289" t="s">
        <v>28</v>
      </c>
      <c r="H289" t="s">
        <v>106</v>
      </c>
      <c r="I289">
        <v>283</v>
      </c>
      <c r="J289">
        <f>Table1[[#This Row],[Price]]*Table1[[#This Row],[Quantity]]</f>
        <v>2903.58</v>
      </c>
    </row>
    <row r="290" spans="1:10" x14ac:dyDescent="0.3">
      <c r="A290">
        <v>10740</v>
      </c>
      <c r="B290" s="1">
        <v>46161.980707395844</v>
      </c>
      <c r="C290" t="s">
        <v>19</v>
      </c>
      <c r="D290">
        <v>5.1100000000000003</v>
      </c>
      <c r="E290" t="s">
        <v>21</v>
      </c>
      <c r="F290" t="s">
        <v>58</v>
      </c>
      <c r="G290" t="s">
        <v>28</v>
      </c>
      <c r="H290" t="s">
        <v>106</v>
      </c>
      <c r="I290">
        <v>202</v>
      </c>
      <c r="J290">
        <f>Table1[[#This Row],[Price]]*Table1[[#This Row],[Quantity]]</f>
        <v>1032.22</v>
      </c>
    </row>
    <row r="291" spans="1:10" x14ac:dyDescent="0.3">
      <c r="A291">
        <v>10741</v>
      </c>
      <c r="B291" s="1">
        <v>46162.459807071762</v>
      </c>
      <c r="C291" t="s">
        <v>9</v>
      </c>
      <c r="D291">
        <v>3.34</v>
      </c>
      <c r="E291" t="s">
        <v>57</v>
      </c>
      <c r="F291" t="s">
        <v>58</v>
      </c>
      <c r="G291" t="s">
        <v>23</v>
      </c>
      <c r="H291" t="s">
        <v>105</v>
      </c>
      <c r="I291">
        <v>689</v>
      </c>
      <c r="J291">
        <f>Table1[[#This Row],[Price]]*Table1[[#This Row],[Quantity]]</f>
        <v>2301.2599999999998</v>
      </c>
    </row>
    <row r="292" spans="1:10" x14ac:dyDescent="0.3">
      <c r="A292">
        <v>10742</v>
      </c>
      <c r="B292" s="1">
        <v>46162.938906747688</v>
      </c>
      <c r="C292" t="s">
        <v>29</v>
      </c>
      <c r="D292">
        <v>10.29</v>
      </c>
      <c r="E292" t="s">
        <v>11</v>
      </c>
      <c r="F292" t="s">
        <v>26</v>
      </c>
      <c r="G292" t="s">
        <v>14</v>
      </c>
      <c r="H292" t="s">
        <v>103</v>
      </c>
      <c r="I292">
        <v>203</v>
      </c>
      <c r="J292">
        <f>Table1[[#This Row],[Price]]*Table1[[#This Row],[Quantity]]</f>
        <v>2088.87</v>
      </c>
    </row>
    <row r="293" spans="1:10" x14ac:dyDescent="0.3">
      <c r="A293">
        <v>10743</v>
      </c>
      <c r="B293" s="1">
        <v>46163.418006435182</v>
      </c>
      <c r="C293" t="s">
        <v>15</v>
      </c>
      <c r="D293">
        <v>2.83</v>
      </c>
      <c r="E293" t="s">
        <v>11</v>
      </c>
      <c r="F293" t="s">
        <v>26</v>
      </c>
      <c r="G293" t="s">
        <v>33</v>
      </c>
      <c r="H293" t="s">
        <v>107</v>
      </c>
      <c r="I293">
        <v>679</v>
      </c>
      <c r="J293">
        <f>Table1[[#This Row],[Price]]*Table1[[#This Row],[Quantity]]</f>
        <v>1921.57</v>
      </c>
    </row>
    <row r="294" spans="1:10" x14ac:dyDescent="0.3">
      <c r="A294">
        <v>10744</v>
      </c>
      <c r="B294" s="1">
        <v>46163.897106111108</v>
      </c>
      <c r="C294" t="s">
        <v>15</v>
      </c>
      <c r="D294">
        <v>2.87</v>
      </c>
      <c r="E294" t="s">
        <v>57</v>
      </c>
      <c r="F294" t="s">
        <v>26</v>
      </c>
      <c r="G294" t="s">
        <v>14</v>
      </c>
      <c r="H294" t="s">
        <v>103</v>
      </c>
      <c r="I294">
        <v>747</v>
      </c>
      <c r="J294">
        <f>Table1[[#This Row],[Price]]*Table1[[#This Row],[Quantity]]</f>
        <v>2143.89</v>
      </c>
    </row>
    <row r="295" spans="1:10" x14ac:dyDescent="0.3">
      <c r="A295">
        <v>10745</v>
      </c>
      <c r="B295" s="1">
        <v>46164.376205787034</v>
      </c>
      <c r="C295" t="s">
        <v>24</v>
      </c>
      <c r="D295">
        <v>13.5</v>
      </c>
      <c r="E295" t="s">
        <v>21</v>
      </c>
      <c r="F295" t="s">
        <v>58</v>
      </c>
      <c r="G295" t="s">
        <v>28</v>
      </c>
      <c r="H295" t="s">
        <v>106</v>
      </c>
      <c r="I295">
        <v>694</v>
      </c>
      <c r="J295">
        <f>Table1[[#This Row],[Price]]*Table1[[#This Row],[Quantity]]</f>
        <v>9369</v>
      </c>
    </row>
    <row r="296" spans="1:10" x14ac:dyDescent="0.3">
      <c r="A296">
        <v>10746</v>
      </c>
      <c r="B296" s="1">
        <v>46164.855305462966</v>
      </c>
      <c r="C296" t="s">
        <v>9</v>
      </c>
      <c r="D296">
        <v>3.57</v>
      </c>
      <c r="E296" t="s">
        <v>57</v>
      </c>
      <c r="F296" t="s">
        <v>58</v>
      </c>
      <c r="G296" t="s">
        <v>33</v>
      </c>
      <c r="H296" t="s">
        <v>107</v>
      </c>
      <c r="I296">
        <v>689</v>
      </c>
      <c r="J296">
        <f>Table1[[#This Row],[Price]]*Table1[[#This Row],[Quantity]]</f>
        <v>2459.73</v>
      </c>
    </row>
    <row r="297" spans="1:10" x14ac:dyDescent="0.3">
      <c r="A297">
        <v>10747</v>
      </c>
      <c r="B297" s="1">
        <v>46165.334405150461</v>
      </c>
      <c r="C297" t="s">
        <v>24</v>
      </c>
      <c r="D297">
        <v>13.72</v>
      </c>
      <c r="E297" t="s">
        <v>11</v>
      </c>
      <c r="F297" t="s">
        <v>58</v>
      </c>
      <c r="G297" t="s">
        <v>23</v>
      </c>
      <c r="H297" t="s">
        <v>105</v>
      </c>
      <c r="I297">
        <v>571</v>
      </c>
      <c r="J297">
        <f>Table1[[#This Row],[Price]]*Table1[[#This Row],[Quantity]]</f>
        <v>7834.1200000000008</v>
      </c>
    </row>
    <row r="298" spans="1:10" x14ac:dyDescent="0.3">
      <c r="A298">
        <v>10748</v>
      </c>
      <c r="B298" s="1">
        <v>46165.813504826387</v>
      </c>
      <c r="C298" t="s">
        <v>24</v>
      </c>
      <c r="D298">
        <v>13.32</v>
      </c>
      <c r="E298" t="s">
        <v>11</v>
      </c>
      <c r="F298" t="s">
        <v>26</v>
      </c>
      <c r="G298" t="s">
        <v>33</v>
      </c>
      <c r="H298" t="s">
        <v>107</v>
      </c>
      <c r="I298">
        <v>525</v>
      </c>
      <c r="J298">
        <f>Table1[[#This Row],[Price]]*Table1[[#This Row],[Quantity]]</f>
        <v>6993</v>
      </c>
    </row>
    <row r="299" spans="1:10" x14ac:dyDescent="0.3">
      <c r="A299">
        <v>10749</v>
      </c>
      <c r="B299" s="1">
        <v>46166.292604502312</v>
      </c>
      <c r="C299" t="s">
        <v>15</v>
      </c>
      <c r="D299">
        <v>2.98</v>
      </c>
      <c r="E299" t="s">
        <v>21</v>
      </c>
      <c r="F299" t="s">
        <v>58</v>
      </c>
      <c r="G299" t="s">
        <v>23</v>
      </c>
      <c r="H299" t="s">
        <v>105</v>
      </c>
      <c r="I299">
        <v>679</v>
      </c>
      <c r="J299">
        <f>Table1[[#This Row],[Price]]*Table1[[#This Row],[Quantity]]</f>
        <v>2023.42</v>
      </c>
    </row>
    <row r="300" spans="1:10" x14ac:dyDescent="0.3">
      <c r="A300">
        <v>10750</v>
      </c>
      <c r="B300" s="1">
        <v>46166.771704178238</v>
      </c>
      <c r="C300" t="s">
        <v>24</v>
      </c>
      <c r="D300">
        <v>12.15</v>
      </c>
      <c r="E300" t="s">
        <v>57</v>
      </c>
      <c r="F300" t="s">
        <v>26</v>
      </c>
      <c r="G300" t="s">
        <v>14</v>
      </c>
      <c r="H300" t="s">
        <v>103</v>
      </c>
      <c r="I300">
        <v>463</v>
      </c>
      <c r="J300">
        <f>Table1[[#This Row],[Price]]*Table1[[#This Row],[Quantity]]</f>
        <v>5625.45</v>
      </c>
    </row>
    <row r="301" spans="1:10" x14ac:dyDescent="0.3">
      <c r="A301">
        <v>10751</v>
      </c>
      <c r="B301" s="1">
        <v>46167.250803854156</v>
      </c>
      <c r="C301" t="s">
        <v>15</v>
      </c>
      <c r="D301">
        <v>2.89</v>
      </c>
      <c r="E301" t="s">
        <v>21</v>
      </c>
      <c r="F301" t="s">
        <v>26</v>
      </c>
      <c r="G301" t="s">
        <v>33</v>
      </c>
      <c r="H301" t="s">
        <v>107</v>
      </c>
      <c r="I301">
        <v>679</v>
      </c>
      <c r="J301">
        <f>Table1[[#This Row],[Price]]*Table1[[#This Row],[Quantity]]</f>
        <v>1962.3100000000002</v>
      </c>
    </row>
    <row r="302" spans="1:10" x14ac:dyDescent="0.3">
      <c r="A302">
        <v>10513</v>
      </c>
      <c r="B302" s="1">
        <v>46167.729903541673</v>
      </c>
      <c r="C302" t="s">
        <v>15</v>
      </c>
      <c r="D302">
        <v>2.95</v>
      </c>
      <c r="E302" t="s">
        <v>57</v>
      </c>
      <c r="F302" t="s">
        <v>58</v>
      </c>
      <c r="G302" t="s">
        <v>23</v>
      </c>
      <c r="H302" t="s">
        <v>105</v>
      </c>
      <c r="I302">
        <v>679</v>
      </c>
      <c r="J302">
        <f>Table1[[#This Row],[Price]]*Table1[[#This Row],[Quantity]]</f>
        <v>2003.0500000000002</v>
      </c>
    </row>
    <row r="303" spans="1:10" x14ac:dyDescent="0.3">
      <c r="A303">
        <v>10671</v>
      </c>
      <c r="B303" s="1">
        <v>46168.209003217591</v>
      </c>
      <c r="C303" t="s">
        <v>29</v>
      </c>
      <c r="D303">
        <v>9.9499999999999993</v>
      </c>
      <c r="E303" t="s">
        <v>21</v>
      </c>
      <c r="F303" t="s">
        <v>58</v>
      </c>
      <c r="G303" t="s">
        <v>23</v>
      </c>
      <c r="H303" t="s">
        <v>105</v>
      </c>
      <c r="I303">
        <v>222</v>
      </c>
      <c r="J303">
        <f>Table1[[#This Row],[Price]]*Table1[[#This Row],[Quantity]]</f>
        <v>2208.8999999999996</v>
      </c>
    </row>
    <row r="304" spans="1:10" x14ac:dyDescent="0.3">
      <c r="A304">
        <v>10507</v>
      </c>
      <c r="B304" s="1">
        <v>46168.688102893517</v>
      </c>
      <c r="C304" t="s">
        <v>9</v>
      </c>
      <c r="D304">
        <v>3.49</v>
      </c>
      <c r="E304" t="s">
        <v>57</v>
      </c>
      <c r="F304" t="s">
        <v>26</v>
      </c>
      <c r="G304" t="s">
        <v>18</v>
      </c>
      <c r="H304" t="s">
        <v>104</v>
      </c>
      <c r="I304">
        <v>689</v>
      </c>
      <c r="J304">
        <f>Table1[[#This Row],[Price]]*Table1[[#This Row],[Quantity]]</f>
        <v>2404.61</v>
      </c>
    </row>
    <row r="305" spans="1:10" x14ac:dyDescent="0.3">
      <c r="A305">
        <v>10696</v>
      </c>
      <c r="B305" s="1">
        <v>46169.167202569442</v>
      </c>
      <c r="C305" t="s">
        <v>29</v>
      </c>
      <c r="D305">
        <v>9.9499999999999993</v>
      </c>
      <c r="E305" t="s">
        <v>21</v>
      </c>
      <c r="F305" t="s">
        <v>58</v>
      </c>
      <c r="G305" t="s">
        <v>28</v>
      </c>
      <c r="H305" t="s">
        <v>106</v>
      </c>
      <c r="I305">
        <v>283</v>
      </c>
      <c r="J305">
        <f>Table1[[#This Row],[Price]]*Table1[[#This Row],[Quantity]]</f>
        <v>2815.85</v>
      </c>
    </row>
    <row r="306" spans="1:10" x14ac:dyDescent="0.3">
      <c r="A306">
        <v>10547</v>
      </c>
      <c r="B306" s="1">
        <v>46169.646302245368</v>
      </c>
      <c r="C306" t="s">
        <v>9</v>
      </c>
      <c r="D306">
        <v>3.49</v>
      </c>
      <c r="E306" t="s">
        <v>57</v>
      </c>
      <c r="F306" t="s">
        <v>26</v>
      </c>
      <c r="G306" t="s">
        <v>14</v>
      </c>
      <c r="H306" t="s">
        <v>103</v>
      </c>
      <c r="I306">
        <v>631</v>
      </c>
      <c r="J306">
        <f>Table1[[#This Row],[Price]]*Table1[[#This Row],[Quantity]]</f>
        <v>2202.19</v>
      </c>
    </row>
    <row r="307" spans="1:10" x14ac:dyDescent="0.3">
      <c r="A307">
        <v>10582</v>
      </c>
      <c r="B307" s="1">
        <v>46170.12540193287</v>
      </c>
      <c r="C307" t="s">
        <v>9</v>
      </c>
      <c r="D307">
        <v>3.49</v>
      </c>
      <c r="E307" t="s">
        <v>11</v>
      </c>
      <c r="F307" t="s">
        <v>26</v>
      </c>
      <c r="G307" t="s">
        <v>14</v>
      </c>
      <c r="H307" t="s">
        <v>103</v>
      </c>
      <c r="I307">
        <v>631</v>
      </c>
      <c r="J307">
        <f>Table1[[#This Row],[Price]]*Table1[[#This Row],[Quantity]]</f>
        <v>2202.19</v>
      </c>
    </row>
    <row r="308" spans="1:10" x14ac:dyDescent="0.3">
      <c r="A308">
        <v>10736</v>
      </c>
      <c r="B308" s="1">
        <v>46170.604501608803</v>
      </c>
      <c r="C308" t="s">
        <v>29</v>
      </c>
      <c r="D308">
        <v>9.16</v>
      </c>
      <c r="E308" t="s">
        <v>57</v>
      </c>
      <c r="F308" t="s">
        <v>12</v>
      </c>
      <c r="G308" t="s">
        <v>28</v>
      </c>
      <c r="H308" t="s">
        <v>106</v>
      </c>
      <c r="I308">
        <v>303</v>
      </c>
      <c r="J308">
        <f>Table1[[#This Row],[Price]]*Table1[[#This Row],[Quantity]]</f>
        <v>2775.48</v>
      </c>
    </row>
    <row r="309" spans="1:10" x14ac:dyDescent="0.3">
      <c r="A309">
        <v>10606</v>
      </c>
      <c r="B309" s="1">
        <v>46171.083601284721</v>
      </c>
      <c r="C309" t="s">
        <v>29</v>
      </c>
      <c r="D309">
        <v>9.9499999999999993</v>
      </c>
      <c r="E309" t="s">
        <v>11</v>
      </c>
      <c r="F309" t="s">
        <v>58</v>
      </c>
      <c r="G309" t="s">
        <v>14</v>
      </c>
      <c r="H309" t="s">
        <v>103</v>
      </c>
      <c r="I309">
        <v>202</v>
      </c>
      <c r="J309">
        <f>Table1[[#This Row],[Price]]*Table1[[#This Row],[Quantity]]</f>
        <v>2009.8999999999999</v>
      </c>
    </row>
    <row r="310" spans="1:10" x14ac:dyDescent="0.3">
      <c r="A310">
        <v>10642</v>
      </c>
      <c r="B310" s="1">
        <v>46171.562700960647</v>
      </c>
      <c r="C310" t="s">
        <v>9</v>
      </c>
      <c r="D310">
        <v>3.49</v>
      </c>
      <c r="E310" t="s">
        <v>11</v>
      </c>
      <c r="F310" t="s">
        <v>58</v>
      </c>
      <c r="G310" t="s">
        <v>23</v>
      </c>
      <c r="H310" t="s">
        <v>105</v>
      </c>
      <c r="I310">
        <v>631</v>
      </c>
      <c r="J310">
        <f>Table1[[#This Row],[Price]]*Table1[[#This Row],[Quantity]]</f>
        <v>2202.19</v>
      </c>
    </row>
    <row r="311" spans="1:10" x14ac:dyDescent="0.3">
      <c r="A311">
        <v>10673</v>
      </c>
      <c r="B311" s="1">
        <v>46172.041800648149</v>
      </c>
      <c r="C311" t="s">
        <v>15</v>
      </c>
      <c r="D311">
        <v>2.95</v>
      </c>
      <c r="E311" t="s">
        <v>21</v>
      </c>
      <c r="F311" t="s">
        <v>58</v>
      </c>
      <c r="G311" t="s">
        <v>23</v>
      </c>
      <c r="H311" t="s">
        <v>105</v>
      </c>
      <c r="I311">
        <v>747</v>
      </c>
      <c r="J311">
        <f>Table1[[#This Row],[Price]]*Table1[[#This Row],[Quantity]]</f>
        <v>2203.65</v>
      </c>
    </row>
    <row r="312" spans="1:10" x14ac:dyDescent="0.3">
      <c r="A312">
        <v>10629</v>
      </c>
      <c r="B312" s="1">
        <v>46172.520900324067</v>
      </c>
      <c r="C312" t="s">
        <v>19</v>
      </c>
      <c r="D312">
        <v>4.99</v>
      </c>
      <c r="E312" t="s">
        <v>11</v>
      </c>
      <c r="F312" t="s">
        <v>12</v>
      </c>
      <c r="G312" t="s">
        <v>23</v>
      </c>
      <c r="H312" t="s">
        <v>105</v>
      </c>
      <c r="I312">
        <v>202</v>
      </c>
      <c r="J312">
        <f>Table1[[#This Row],[Price]]*Table1[[#This Row],[Quantity]]</f>
        <v>1007.98</v>
      </c>
    </row>
    <row r="313" spans="1:10" x14ac:dyDescent="0.3">
      <c r="A313">
        <v>10632</v>
      </c>
      <c r="B313" s="1">
        <v>46173</v>
      </c>
      <c r="C313" t="s">
        <v>9</v>
      </c>
      <c r="D313">
        <v>3.49</v>
      </c>
      <c r="E313" t="s">
        <v>11</v>
      </c>
      <c r="F313" t="s">
        <v>12</v>
      </c>
      <c r="G313" t="s">
        <v>23</v>
      </c>
      <c r="H313" t="s">
        <v>105</v>
      </c>
      <c r="I313">
        <v>631</v>
      </c>
      <c r="J313">
        <f>Table1[[#This Row],[Price]]*Table1[[#This Row],[Quantity]]</f>
        <v>2202.19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RBP</vt:lpstr>
      <vt:lpstr>QBP</vt:lpstr>
      <vt:lpstr>RT</vt:lpstr>
      <vt:lpstr>PP</vt:lpstr>
      <vt:lpstr>Card</vt:lpstr>
      <vt:lpstr>Report</vt:lpstr>
      <vt:lpstr>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Dickson Antiri</cp:lastModifiedBy>
  <dcterms:created xsi:type="dcterms:W3CDTF">2026-09-08T18:15:25Z</dcterms:created>
  <dcterms:modified xsi:type="dcterms:W3CDTF">2026-09-18T19:44:01Z</dcterms:modified>
</cp:coreProperties>
</file>