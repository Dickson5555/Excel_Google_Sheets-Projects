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SON ANTIRI\Downloads\"/>
    </mc:Choice>
  </mc:AlternateContent>
  <xr:revisionPtr revIDLastSave="0" documentId="13_ncr:1_{F452722E-523A-46CC-A129-722ABF613BA1}" xr6:coauthVersionLast="47" xr6:coauthVersionMax="47" xr10:uidLastSave="{00000000-0000-0000-0000-000000000000}"/>
  <bookViews>
    <workbookView xWindow="-108" yWindow="-108" windowWidth="23256" windowHeight="12456" tabRatio="500" activeTab="7" xr2:uid="{00000000-000D-0000-FFFF-FFFF00000000}"/>
  </bookViews>
  <sheets>
    <sheet name="Dashboard" sheetId="2" r:id="rId1"/>
    <sheet name="Entry_FuelSales" sheetId="3" r:id="rId2"/>
    <sheet name="DB_FuelSales" sheetId="4" r:id="rId3"/>
    <sheet name="Entry_CashBanking" sheetId="5" r:id="rId4"/>
    <sheet name="DB_CashBanking" sheetId="6" r:id="rId5"/>
    <sheet name="Entry_Expenses" sheetId="7" r:id="rId6"/>
    <sheet name="DB_Expenses" sheetId="8" r:id="rId7"/>
    <sheet name="Lookups" sheetId="9" r:id="rId8"/>
  </sheets>
  <functionGroups builtInGroupCount="19"/>
  <definedNames>
    <definedName name="Attendant">Lookups!$B$2:$B$6</definedName>
    <definedName name="Customer">Lookups!$F$2:$F$6</definedName>
    <definedName name="ExpenseCategory">Lookups!$D$2:$D$9</definedName>
    <definedName name="ExpenseOwner">Lookups!$E$2:$E$3</definedName>
    <definedName name="Product">Lookups!$C$2:$C$3</definedName>
    <definedName name="ShiftGroup">Lookups!$A$2:$A$3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2" i="5" l="1"/>
  <c r="C15" i="3"/>
  <c r="C13" i="3"/>
  <c r="C14" i="3" s="1"/>
  <c r="C8" i="2"/>
  <c r="C7" i="2"/>
  <c r="C6" i="2"/>
  <c r="C5" i="2"/>
  <c r="C4" i="2"/>
</calcChain>
</file>

<file path=xl/sharedStrings.xml><?xml version="1.0" encoding="utf-8"?>
<sst xmlns="http://schemas.openxmlformats.org/spreadsheetml/2006/main" count="119" uniqueCount="83">
  <si>
    <t>QUICK SUMMARY (ALL-TIME)</t>
  </si>
  <si>
    <t>Total Revenue (GHS)</t>
  </si>
  <si>
    <t>Total Litres Sold</t>
  </si>
  <si>
    <t>Total Expenses (GHS)</t>
  </si>
  <si>
    <t>Total Banking Variance (GHS)</t>
  </si>
  <si>
    <t>Total Stock Variance (L)</t>
  </si>
  <si>
    <t>NEW FUEL SALES ENTRY</t>
  </si>
  <si>
    <t>Date</t>
  </si>
  <si>
    <t>e.g. 23/07/2026</t>
  </si>
  <si>
    <t>Shift-Group</t>
  </si>
  <si>
    <t>Attendant</t>
  </si>
  <si>
    <t>Product</t>
  </si>
  <si>
    <t>Opening Stock (L)</t>
  </si>
  <si>
    <t>Deliveries (L)</t>
  </si>
  <si>
    <t>Actual Stock (L)</t>
  </si>
  <si>
    <t>measured/dipped at end of shift</t>
  </si>
  <si>
    <t>Litres Sold</t>
  </si>
  <si>
    <t>Unit Price (GHS)</t>
  </si>
  <si>
    <t>Expected Stock (L)</t>
  </si>
  <si>
    <t>Stock Variance (L)</t>
  </si>
  <si>
    <t>Revenue (GHS)</t>
  </si>
  <si>
    <t>SAVE ENTRY</t>
  </si>
  <si>
    <t>ShiftID</t>
  </si>
  <si>
    <t>ShiftGroup</t>
  </si>
  <si>
    <t>OpeningStock_L</t>
  </si>
  <si>
    <t>Deliveries_L</t>
  </si>
  <si>
    <t>ActualStock_L</t>
  </si>
  <si>
    <t>ExpectedStock_L</t>
  </si>
  <si>
    <t>StockVariance_L</t>
  </si>
  <si>
    <t>LitresSold</t>
  </si>
  <si>
    <t>UnitPrice_GHS</t>
  </si>
  <si>
    <t>Revenue_GHS</t>
  </si>
  <si>
    <t>EnteredOn</t>
  </si>
  <si>
    <t>NEW CASH &amp; BANKING ENTRY</t>
  </si>
  <si>
    <t>Opening Balance (GHS)</t>
  </si>
  <si>
    <t>Cash Sales (GHS)</t>
  </si>
  <si>
    <t>Credit Sales (GHS)</t>
  </si>
  <si>
    <t>Credit Customer</t>
  </si>
  <si>
    <t>leave blank if no credit sale</t>
  </si>
  <si>
    <t>Expected Banking (GHS)</t>
  </si>
  <si>
    <t>from till reconciliation</t>
  </si>
  <si>
    <t>Actual Banked (GHS)</t>
  </si>
  <si>
    <t>from bank teller slip</t>
  </si>
  <si>
    <t>Banking Variance (GHS)</t>
  </si>
  <si>
    <t>OpeningBalance_GHS</t>
  </si>
  <si>
    <t>CashSales_GHS</t>
  </si>
  <si>
    <t>CreditSales_GHS</t>
  </si>
  <si>
    <t>CreditCustomer</t>
  </si>
  <si>
    <t>ExpectedBanking_GHS</t>
  </si>
  <si>
    <t>ActualBanked_GHS</t>
  </si>
  <si>
    <t>BankingVariance_GHS</t>
  </si>
  <si>
    <t>NEW EXPENSE ENTRY</t>
  </si>
  <si>
    <t>Expense Category</t>
  </si>
  <si>
    <t>Expense Owner</t>
  </si>
  <si>
    <t>Amount (GHS)</t>
  </si>
  <si>
    <t>Notes</t>
  </si>
  <si>
    <t>ExpenseCategory</t>
  </si>
  <si>
    <t>ExpenseOwner</t>
  </si>
  <si>
    <t>Amount_GHS</t>
  </si>
  <si>
    <t>Customer</t>
  </si>
  <si>
    <t>Team A</t>
  </si>
  <si>
    <t>Abigail Bawah</t>
  </si>
  <si>
    <t>PMS</t>
  </si>
  <si>
    <t>Payroll</t>
  </si>
  <si>
    <t>Station</t>
  </si>
  <si>
    <t>Carbon Logistics</t>
  </si>
  <si>
    <t>Team B</t>
  </si>
  <si>
    <t>Seibu Silas</t>
  </si>
  <si>
    <t>AGO</t>
  </si>
  <si>
    <t>Head Office</t>
  </si>
  <si>
    <t>Goods General Ventures</t>
  </si>
  <si>
    <t>Kessben Adu Blessing</t>
  </si>
  <si>
    <t>Maintenance</t>
  </si>
  <si>
    <t>Kraft Logisto</t>
  </si>
  <si>
    <t>Rita Konadu</t>
  </si>
  <si>
    <t>Compliance</t>
  </si>
  <si>
    <t>Musah Osmanu</t>
  </si>
  <si>
    <t>Ama Serwaa</t>
  </si>
  <si>
    <t>Transport</t>
  </si>
  <si>
    <t>(New Customer)</t>
  </si>
  <si>
    <t>Operational</t>
  </si>
  <si>
    <t>Utilities</t>
  </si>
  <si>
    <t>Administrative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</si>
</sst>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dd/mm/yyyy\ hh:mm"/>
  </numFmts>
  <fonts count="8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808080"/>
      <name val="Arial"/>
      <charset val="1"/>
    </font>
    <font>
      <b/>
      <sz val="13"/>
      <color rgb="FFFFFFFF"/>
      <name val="Arial"/>
      <charset val="1"/>
    </font>
    <font>
      <b/>
      <sz val="12"/>
      <color rgb="FFFFFFFF"/>
      <name val="Arial"/>
      <charset val="1"/>
    </font>
    <font>
      <b/>
      <sz val="14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rgb="FF800000"/>
      </patternFill>
    </fill>
    <fill>
      <patternFill patternType="solid">
        <fgColor rgb="FFF2F2F2"/>
        <bgColor rgb="FFFFFFFF"/>
      </patternFill>
    </fill>
    <fill>
      <patternFill patternType="solid">
        <fgColor rgb="FFFFF2CC"/>
        <bgColor rgb="FFF2F2F2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3" fillId="0" borderId="1" xfId="0" applyFont="1" applyBorder="1"/>
    <xf numFmtId="4" fontId="0" fillId="3" borderId="1" xfId="0" applyNumberFormat="1" applyFill="1" applyBorder="1"/>
    <xf numFmtId="0" fontId="3" fillId="0" borderId="0" xfId="0" applyFont="1"/>
    <xf numFmtId="14" fontId="2" fillId="4" borderId="1" xfId="0" applyNumberFormat="1" applyFont="1" applyFill="1" applyBorder="1"/>
    <xf numFmtId="0" fontId="4" fillId="0" borderId="0" xfId="0" applyFont="1"/>
    <xf numFmtId="0" fontId="2" fillId="4" borderId="1" xfId="0" applyFont="1" applyFill="1" applyBorder="1"/>
    <xf numFmtId="0" fontId="2" fillId="3" borderId="1" xfId="0" applyFont="1" applyFill="1" applyBorder="1"/>
    <xf numFmtId="0" fontId="6" fillId="2" borderId="0" xfId="0" applyFont="1" applyFill="1" applyAlignment="1">
      <alignment horizontal="center"/>
    </xf>
    <xf numFmtId="0" fontId="3" fillId="3" borderId="0" xfId="0" applyFont="1" applyFill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">
    <dxf>
      <numFmt numFmtId="165" formatCode="dd/mm/yyyy\ hh:mm"/>
    </dxf>
    <dxf>
      <numFmt numFmtId="164" formatCode="dd/mm/yyyy"/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16</xdr:row>
          <xdr:rowOff>38100</xdr:rowOff>
        </xdr:from>
        <xdr:to>
          <xdr:col>4</xdr:col>
          <xdr:colOff>15240</xdr:colOff>
          <xdr:row>18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H" sz="14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13</xdr:row>
          <xdr:rowOff>7620</xdr:rowOff>
        </xdr:from>
        <xdr:to>
          <xdr:col>4</xdr:col>
          <xdr:colOff>7620</xdr:colOff>
          <xdr:row>15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H" sz="14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7620</xdr:rowOff>
        </xdr:from>
        <xdr:to>
          <xdr:col>3</xdr:col>
          <xdr:colOff>2727960</xdr:colOff>
          <xdr:row>12</xdr:row>
          <xdr:rowOff>53340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H" sz="14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ENTRY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FuelSales" displayName="DB_FuelSales" ref="A1:N5" totalsRowShown="0">
  <autoFilter ref="A1:N5" xr:uid="{00000000-0009-0000-0100-000003000000}"/>
  <tableColumns count="14">
    <tableColumn id="1" xr3:uid="{00000000-0010-0000-0000-000001000000}" name="ShiftID"/>
    <tableColumn id="2" xr3:uid="{00000000-0010-0000-0000-000002000000}" name="Date" dataDxfId="1"/>
    <tableColumn id="3" xr3:uid="{00000000-0010-0000-0000-000003000000}" name="ShiftGroup"/>
    <tableColumn id="4" xr3:uid="{00000000-0010-0000-0000-000004000000}" name="Attendant"/>
    <tableColumn id="5" xr3:uid="{00000000-0010-0000-0000-000005000000}" name="Product"/>
    <tableColumn id="6" xr3:uid="{00000000-0010-0000-0000-000006000000}" name="OpeningStock_L"/>
    <tableColumn id="7" xr3:uid="{00000000-0010-0000-0000-000007000000}" name="Deliveries_L"/>
    <tableColumn id="8" xr3:uid="{00000000-0010-0000-0000-000008000000}" name="ActualStock_L"/>
    <tableColumn id="9" xr3:uid="{00000000-0010-0000-0000-000009000000}" name="ExpectedStock_L"/>
    <tableColumn id="10" xr3:uid="{00000000-0010-0000-0000-00000A000000}" name="StockVariance_L"/>
    <tableColumn id="11" xr3:uid="{00000000-0010-0000-0000-00000B000000}" name="LitresSold"/>
    <tableColumn id="12" xr3:uid="{00000000-0010-0000-0000-00000C000000}" name="UnitPrice_GHS"/>
    <tableColumn id="13" xr3:uid="{00000000-0010-0000-0000-00000D000000}" name="Revenue_GHS"/>
    <tableColumn id="14" xr3:uid="{00000000-0010-0000-0000-00000E000000}" name="EnteredOn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B_CashBanking" displayName="DB_CashBanking" ref="A1:K2" totalsRowShown="0">
  <autoFilter ref="A1:K2" xr:uid="{00000000-0009-0000-0100-000001000000}"/>
  <tableColumns count="11">
    <tableColumn id="1" xr3:uid="{00000000-0010-0000-0100-000001000000}" name="ShiftID"/>
    <tableColumn id="2" xr3:uid="{00000000-0010-0000-0100-000002000000}" name="Date"/>
    <tableColumn id="3" xr3:uid="{00000000-0010-0000-0100-000003000000}" name="ShiftGroup"/>
    <tableColumn id="4" xr3:uid="{00000000-0010-0000-0100-000004000000}" name="OpeningBalance_GHS"/>
    <tableColumn id="5" xr3:uid="{00000000-0010-0000-0100-000005000000}" name="CashSales_GHS"/>
    <tableColumn id="6" xr3:uid="{00000000-0010-0000-0100-000006000000}" name="CreditSales_GHS"/>
    <tableColumn id="7" xr3:uid="{00000000-0010-0000-0100-000007000000}" name="CreditCustomer"/>
    <tableColumn id="8" xr3:uid="{00000000-0010-0000-0100-000008000000}" name="ExpectedBanking_GHS"/>
    <tableColumn id="9" xr3:uid="{00000000-0010-0000-0100-000009000000}" name="ActualBanked_GHS"/>
    <tableColumn id="10" xr3:uid="{00000000-0010-0000-0100-00000A000000}" name="BankingVariance_GHS"/>
    <tableColumn id="11" xr3:uid="{00000000-0010-0000-0100-00000B000000}" name="EnteredO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DB_Expenses" displayName="DB_Expenses" ref="A1:H2" totalsRowShown="0">
  <autoFilter ref="A1:H2" xr:uid="{00000000-0009-0000-0100-000002000000}"/>
  <tableColumns count="8">
    <tableColumn id="1" xr3:uid="{00000000-0010-0000-0200-000001000000}" name="ShiftID"/>
    <tableColumn id="2" xr3:uid="{00000000-0010-0000-0200-000002000000}" name="Date"/>
    <tableColumn id="3" xr3:uid="{00000000-0010-0000-0200-000003000000}" name="ShiftGroup"/>
    <tableColumn id="4" xr3:uid="{00000000-0010-0000-0200-000004000000}" name="ExpenseCategory"/>
    <tableColumn id="5" xr3:uid="{00000000-0010-0000-0200-000005000000}" name="ExpenseOwner"/>
    <tableColumn id="6" xr3:uid="{00000000-0010-0000-0200-000006000000}" name="Amount_GHS"/>
    <tableColumn id="7" xr3:uid="{00000000-0010-0000-0200-000007000000}" name="Notes"/>
    <tableColumn id="8" xr3:uid="{00000000-0010-0000-0200-000008000000}" name="EnteredO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8"/>
  <sheetViews>
    <sheetView showGridLines="0" zoomScaleNormal="100" workbookViewId="0"/>
  </sheetViews>
  <sheetFormatPr defaultColWidth="8.6640625" defaultRowHeight="14.4" x14ac:dyDescent="0.3"/>
  <cols>
    <col min="1" max="1" width="3" customWidth="1"/>
    <col min="2" max="2" width="24" customWidth="1"/>
    <col min="3" max="3" width="18" customWidth="1"/>
  </cols>
  <sheetData>
    <row r="2" spans="2:3" ht="27.75" customHeight="1" x14ac:dyDescent="0.3">
      <c r="B2" s="2" t="s">
        <v>0</v>
      </c>
      <c r="C2" s="2"/>
    </row>
    <row r="4" spans="2:3" x14ac:dyDescent="0.3">
      <c r="B4" s="3" t="s">
        <v>1</v>
      </c>
      <c r="C4" s="4">
        <f>IFERROR(SUM(DB_FuelSales[Revenue_GHS]),0)</f>
        <v>399000</v>
      </c>
    </row>
    <row r="5" spans="2:3" x14ac:dyDescent="0.3">
      <c r="B5" s="3" t="s">
        <v>2</v>
      </c>
      <c r="C5" s="4">
        <f>IFERROR(SUM(DB_FuelSales[LitresSold]),0)</f>
        <v>28500</v>
      </c>
    </row>
    <row r="6" spans="2:3" x14ac:dyDescent="0.3">
      <c r="B6" s="3" t="s">
        <v>3</v>
      </c>
      <c r="C6" s="4">
        <f>IFERROR(SUM(DB_Expenses[Amount_GHS]),0)</f>
        <v>0</v>
      </c>
    </row>
    <row r="7" spans="2:3" x14ac:dyDescent="0.3">
      <c r="B7" s="3" t="s">
        <v>4</v>
      </c>
      <c r="C7" s="4">
        <f>IFERROR(SUM(DB_CashBanking[BankingVariance_GHS]),0)</f>
        <v>0</v>
      </c>
    </row>
    <row r="8" spans="2:3" x14ac:dyDescent="0.3">
      <c r="B8" s="3" t="s">
        <v>5</v>
      </c>
      <c r="C8" s="4">
        <f>IFERROR(SUM(DB_FuelSales[StockVariance_L]),0)</f>
        <v>-17074</v>
      </c>
    </row>
  </sheetData>
  <mergeCells count="1">
    <mergeCell ref="B2:C2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20"/>
  <sheetViews>
    <sheetView showGridLines="0" zoomScaleNormal="100" workbookViewId="0">
      <selection activeCell="C14" sqref="C14"/>
    </sheetView>
  </sheetViews>
  <sheetFormatPr defaultColWidth="8.6640625" defaultRowHeight="14.4" x14ac:dyDescent="0.3"/>
  <cols>
    <col min="1" max="1" width="3" customWidth="1"/>
    <col min="2" max="2" width="22" customWidth="1"/>
    <col min="3" max="3" width="18" customWidth="1"/>
    <col min="4" max="4" width="40" customWidth="1"/>
  </cols>
  <sheetData>
    <row r="2" spans="2:4" ht="27.75" customHeight="1" x14ac:dyDescent="0.3">
      <c r="B2" s="2" t="s">
        <v>6</v>
      </c>
      <c r="C2" s="2"/>
      <c r="D2" s="2"/>
    </row>
    <row r="4" spans="2:4" x14ac:dyDescent="0.3">
      <c r="B4" s="5" t="s">
        <v>7</v>
      </c>
      <c r="C4" s="6">
        <v>46228</v>
      </c>
      <c r="D4" s="7" t="s">
        <v>8</v>
      </c>
    </row>
    <row r="5" spans="2:4" x14ac:dyDescent="0.3">
      <c r="B5" s="5" t="s">
        <v>9</v>
      </c>
      <c r="C5" s="8"/>
    </row>
    <row r="6" spans="2:4" x14ac:dyDescent="0.3">
      <c r="B6" s="5" t="s">
        <v>10</v>
      </c>
      <c r="C6" s="8"/>
    </row>
    <row r="7" spans="2:4" x14ac:dyDescent="0.3">
      <c r="B7" s="5" t="s">
        <v>11</v>
      </c>
      <c r="C7" s="8"/>
    </row>
    <row r="8" spans="2:4" x14ac:dyDescent="0.3">
      <c r="B8" s="5" t="s">
        <v>12</v>
      </c>
      <c r="C8" s="8"/>
    </row>
    <row r="9" spans="2:4" x14ac:dyDescent="0.3">
      <c r="B9" s="5" t="s">
        <v>13</v>
      </c>
      <c r="C9" s="8"/>
    </row>
    <row r="10" spans="2:4" x14ac:dyDescent="0.3">
      <c r="B10" s="5" t="s">
        <v>14</v>
      </c>
      <c r="C10" s="8"/>
      <c r="D10" s="7" t="s">
        <v>15</v>
      </c>
    </row>
    <row r="11" spans="2:4" x14ac:dyDescent="0.3">
      <c r="B11" s="5" t="s">
        <v>16</v>
      </c>
      <c r="C11" s="8"/>
    </row>
    <row r="12" spans="2:4" x14ac:dyDescent="0.3">
      <c r="B12" s="5" t="s">
        <v>17</v>
      </c>
      <c r="C12" s="8"/>
    </row>
    <row r="13" spans="2:4" x14ac:dyDescent="0.3">
      <c r="B13" s="5" t="s">
        <v>18</v>
      </c>
      <c r="C13" s="9">
        <f>IFERROR(C8+C9-C11,"")</f>
        <v>0</v>
      </c>
    </row>
    <row r="14" spans="2:4" x14ac:dyDescent="0.3">
      <c r="B14" s="5" t="s">
        <v>19</v>
      </c>
      <c r="C14" s="9">
        <f>IFERROR(C10-C13,"")</f>
        <v>0</v>
      </c>
    </row>
    <row r="15" spans="2:4" x14ac:dyDescent="0.3">
      <c r="B15" s="5" t="s">
        <v>20</v>
      </c>
      <c r="C15" s="9">
        <f>IFERROR(C11*C12,"")</f>
        <v>0</v>
      </c>
    </row>
    <row r="17" spans="2:4" x14ac:dyDescent="0.3">
      <c r="B17" s="1" t="s">
        <v>21</v>
      </c>
      <c r="C17" s="1"/>
      <c r="D17" s="1"/>
    </row>
    <row r="18" spans="2:4" x14ac:dyDescent="0.3">
      <c r="B18" s="1"/>
      <c r="C18" s="1"/>
      <c r="D18" s="1"/>
    </row>
    <row r="20" spans="2:4" x14ac:dyDescent="0.3">
      <c r="B20" s="7"/>
    </row>
  </sheetData>
  <mergeCells count="2">
    <mergeCell ref="B2:D2"/>
    <mergeCell ref="B17:D18"/>
  </mergeCells>
  <dataValidations count="3">
    <dataValidation type="list" allowBlank="1" sqref="C5" xr:uid="{00000000-0002-0000-0200-000000000000}">
      <formula1>ShiftGroup</formula1>
      <formula2>0</formula2>
    </dataValidation>
    <dataValidation type="list" allowBlank="1" sqref="C6" xr:uid="{00000000-0002-0000-0200-000001000000}">
      <formula1>Attendant</formula1>
      <formula2>0</formula2>
    </dataValidation>
    <dataValidation type="list" allowBlank="1" sqref="C7" xr:uid="{00000000-0002-0000-0200-000002000000}">
      <formula1>Product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FuelSales" altText="SAVE ENTRY">
                <anchor moveWithCells="1" sizeWithCells="1">
                  <from>
                    <xdr:col>0</xdr:col>
                    <xdr:colOff>190500</xdr:colOff>
                    <xdr:row>16</xdr:row>
                    <xdr:rowOff>38100</xdr:rowOff>
                  </from>
                  <to>
                    <xdr:col>4</xdr:col>
                    <xdr:colOff>15240</xdr:colOff>
                    <xdr:row>18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5"/>
  <sheetViews>
    <sheetView zoomScale="98" zoomScaleNormal="100" workbookViewId="0"/>
  </sheetViews>
  <sheetFormatPr defaultColWidth="8.6640625" defaultRowHeight="14.4" x14ac:dyDescent="0.3"/>
  <cols>
    <col min="1" max="1" width="10" customWidth="1"/>
    <col min="2" max="2" width="12" customWidth="1"/>
    <col min="3" max="3" width="17" bestFit="1" customWidth="1"/>
    <col min="4" max="4" width="20" customWidth="1"/>
    <col min="5" max="5" width="13.77734375" bestFit="1" customWidth="1"/>
    <col min="6" max="6" width="23.109375" bestFit="1" customWidth="1"/>
    <col min="7" max="7" width="18.33203125" bestFit="1" customWidth="1"/>
    <col min="8" max="8" width="20.6640625" bestFit="1" customWidth="1"/>
    <col min="9" max="9" width="24" bestFit="1" customWidth="1"/>
    <col min="10" max="10" width="23.33203125" bestFit="1" customWidth="1"/>
    <col min="11" max="11" width="16.109375" bestFit="1" customWidth="1"/>
    <col min="12" max="12" width="21.109375" bestFit="1" customWidth="1"/>
    <col min="13" max="13" width="20.6640625" bestFit="1" customWidth="1"/>
    <col min="14" max="14" width="18" customWidth="1"/>
  </cols>
  <sheetData>
    <row r="1" spans="1:14" ht="15.6" x14ac:dyDescent="0.3">
      <c r="A1" s="10" t="s">
        <v>22</v>
      </c>
      <c r="B1" s="10" t="s">
        <v>7</v>
      </c>
      <c r="C1" s="10" t="s">
        <v>23</v>
      </c>
      <c r="D1" s="10" t="s">
        <v>10</v>
      </c>
      <c r="E1" s="10" t="s">
        <v>11</v>
      </c>
      <c r="F1" s="10" t="s">
        <v>24</v>
      </c>
      <c r="G1" s="10" t="s">
        <v>25</v>
      </c>
      <c r="H1" s="10" t="s">
        <v>26</v>
      </c>
      <c r="I1" s="10" t="s">
        <v>27</v>
      </c>
      <c r="J1" s="10" t="s">
        <v>28</v>
      </c>
      <c r="K1" s="10" t="s">
        <v>29</v>
      </c>
      <c r="L1" s="10" t="s">
        <v>30</v>
      </c>
      <c r="M1" s="10" t="s">
        <v>31</v>
      </c>
      <c r="N1" s="10" t="s">
        <v>32</v>
      </c>
    </row>
    <row r="2" spans="1:14" x14ac:dyDescent="0.3">
      <c r="A2">
        <v>1</v>
      </c>
      <c r="B2" s="12">
        <v>46226</v>
      </c>
      <c r="C2" t="s">
        <v>60</v>
      </c>
      <c r="D2" t="s">
        <v>61</v>
      </c>
      <c r="E2" t="s">
        <v>62</v>
      </c>
      <c r="F2">
        <v>25000</v>
      </c>
      <c r="G2">
        <v>15000</v>
      </c>
      <c r="H2">
        <v>27970</v>
      </c>
      <c r="I2">
        <v>38800</v>
      </c>
      <c r="J2">
        <v>-10830</v>
      </c>
      <c r="K2">
        <v>1200</v>
      </c>
      <c r="L2">
        <v>14</v>
      </c>
      <c r="M2">
        <v>16800</v>
      </c>
      <c r="N2" s="13">
        <v>46302.50608796296</v>
      </c>
    </row>
    <row r="3" spans="1:14" x14ac:dyDescent="0.3">
      <c r="A3">
        <v>2</v>
      </c>
      <c r="B3" s="12">
        <v>46227</v>
      </c>
      <c r="C3" t="s">
        <v>66</v>
      </c>
      <c r="D3" t="s">
        <v>67</v>
      </c>
      <c r="E3" t="s">
        <v>68</v>
      </c>
      <c r="F3">
        <v>24500</v>
      </c>
      <c r="G3">
        <v>14500</v>
      </c>
      <c r="H3">
        <v>28456</v>
      </c>
      <c r="I3">
        <v>37700</v>
      </c>
      <c r="J3">
        <v>-9244</v>
      </c>
      <c r="K3">
        <v>1300</v>
      </c>
      <c r="L3">
        <v>14</v>
      </c>
      <c r="M3">
        <v>18200</v>
      </c>
      <c r="N3" s="13">
        <v>46302.507268518515</v>
      </c>
    </row>
    <row r="4" spans="1:14" x14ac:dyDescent="0.3">
      <c r="A4">
        <v>3</v>
      </c>
      <c r="B4" s="12">
        <v>46227</v>
      </c>
      <c r="C4" t="s">
        <v>60</v>
      </c>
      <c r="D4" t="s">
        <v>71</v>
      </c>
      <c r="E4" t="s">
        <v>62</v>
      </c>
      <c r="F4">
        <v>26000</v>
      </c>
      <c r="G4">
        <v>14000</v>
      </c>
      <c r="H4">
        <v>30000</v>
      </c>
      <c r="I4">
        <v>27000</v>
      </c>
      <c r="J4">
        <v>3000</v>
      </c>
      <c r="K4">
        <v>13000</v>
      </c>
      <c r="L4">
        <v>14</v>
      </c>
      <c r="M4">
        <v>182000</v>
      </c>
      <c r="N4" s="13">
        <v>46302.508923611109</v>
      </c>
    </row>
    <row r="5" spans="1:14" x14ac:dyDescent="0.3">
      <c r="A5">
        <v>4</v>
      </c>
      <c r="B5" s="12">
        <v>46228</v>
      </c>
      <c r="C5" t="s">
        <v>66</v>
      </c>
      <c r="D5" t="s">
        <v>74</v>
      </c>
      <c r="E5" t="s">
        <v>68</v>
      </c>
      <c r="F5">
        <v>24000</v>
      </c>
      <c r="G5">
        <v>14000</v>
      </c>
      <c r="H5">
        <v>25000</v>
      </c>
      <c r="I5">
        <v>25000</v>
      </c>
      <c r="J5">
        <v>0</v>
      </c>
      <c r="K5">
        <v>13000</v>
      </c>
      <c r="L5">
        <v>14</v>
      </c>
      <c r="M5">
        <v>182000</v>
      </c>
      <c r="N5" s="13">
        <v>46302.511111111111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D17"/>
  <sheetViews>
    <sheetView showGridLines="0" zoomScaleNormal="100" workbookViewId="0">
      <selection activeCell="G23" sqref="G23"/>
    </sheetView>
  </sheetViews>
  <sheetFormatPr defaultColWidth="8.6640625" defaultRowHeight="14.4" x14ac:dyDescent="0.3"/>
  <cols>
    <col min="1" max="1" width="3" customWidth="1"/>
    <col min="2" max="2" width="22" customWidth="1"/>
    <col min="3" max="3" width="18" customWidth="1"/>
    <col min="4" max="4" width="40" customWidth="1"/>
  </cols>
  <sheetData>
    <row r="2" spans="2:4" ht="27.75" customHeight="1" x14ac:dyDescent="0.3">
      <c r="B2" s="2" t="s">
        <v>33</v>
      </c>
      <c r="C2" s="2"/>
      <c r="D2" s="2"/>
    </row>
    <row r="4" spans="2:4" x14ac:dyDescent="0.3">
      <c r="B4" s="5" t="s">
        <v>7</v>
      </c>
      <c r="C4" s="6"/>
    </row>
    <row r="5" spans="2:4" x14ac:dyDescent="0.3">
      <c r="B5" s="5" t="s">
        <v>9</v>
      </c>
      <c r="C5" s="8"/>
    </row>
    <row r="6" spans="2:4" x14ac:dyDescent="0.3">
      <c r="B6" s="5" t="s">
        <v>34</v>
      </c>
      <c r="C6" s="8"/>
    </row>
    <row r="7" spans="2:4" x14ac:dyDescent="0.3">
      <c r="B7" s="5" t="s">
        <v>35</v>
      </c>
      <c r="C7" s="8"/>
    </row>
    <row r="8" spans="2:4" x14ac:dyDescent="0.3">
      <c r="B8" s="5" t="s">
        <v>36</v>
      </c>
      <c r="C8" s="8"/>
    </row>
    <row r="9" spans="2:4" x14ac:dyDescent="0.3">
      <c r="B9" s="5" t="s">
        <v>37</v>
      </c>
      <c r="C9" s="8"/>
      <c r="D9" s="7" t="s">
        <v>38</v>
      </c>
    </row>
    <row r="10" spans="2:4" x14ac:dyDescent="0.3">
      <c r="B10" s="5" t="s">
        <v>39</v>
      </c>
      <c r="C10" s="8"/>
      <c r="D10" s="7" t="s">
        <v>40</v>
      </c>
    </row>
    <row r="11" spans="2:4" x14ac:dyDescent="0.3">
      <c r="B11" s="5" t="s">
        <v>41</v>
      </c>
      <c r="C11" s="8"/>
      <c r="D11" s="7" t="s">
        <v>42</v>
      </c>
    </row>
    <row r="12" spans="2:4" x14ac:dyDescent="0.3">
      <c r="B12" s="5" t="s">
        <v>43</v>
      </c>
      <c r="C12" s="9">
        <f>IFERROR(C11-C10,"")</f>
        <v>0</v>
      </c>
    </row>
    <row r="14" spans="2:4" x14ac:dyDescent="0.3">
      <c r="B14" s="1" t="s">
        <v>21</v>
      </c>
      <c r="C14" s="1"/>
      <c r="D14" s="1"/>
    </row>
    <row r="15" spans="2:4" x14ac:dyDescent="0.3">
      <c r="B15" s="1"/>
      <c r="C15" s="1"/>
      <c r="D15" s="1"/>
    </row>
    <row r="17" spans="2:2" x14ac:dyDescent="0.3">
      <c r="B17" s="7"/>
    </row>
  </sheetData>
  <mergeCells count="2">
    <mergeCell ref="B2:D2"/>
    <mergeCell ref="B14:D15"/>
  </mergeCells>
  <dataValidations count="2">
    <dataValidation type="list" allowBlank="1" sqref="C5" xr:uid="{00000000-0002-0000-0400-000000000000}">
      <formula1>ShiftGroup</formula1>
      <formula2>0</formula2>
    </dataValidation>
    <dataValidation type="list" allowBlank="1" sqref="C9" xr:uid="{00000000-0002-0000-0400-000001000000}">
      <formula1>Customer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CashBanking">
                <anchor moveWithCells="1" sizeWithCells="1">
                  <from>
                    <xdr:col>1</xdr:col>
                    <xdr:colOff>22860</xdr:colOff>
                    <xdr:row>13</xdr:row>
                    <xdr:rowOff>7620</xdr:rowOff>
                  </from>
                  <to>
                    <xdr:col>4</xdr:col>
                    <xdr:colOff>7620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"/>
  <sheetViews>
    <sheetView zoomScaleNormal="100" workbookViewId="0"/>
  </sheetViews>
  <sheetFormatPr defaultColWidth="8.6640625" defaultRowHeight="14.4" x14ac:dyDescent="0.3"/>
  <cols>
    <col min="1" max="1" width="16" customWidth="1"/>
    <col min="2" max="2" width="12" customWidth="1"/>
    <col min="3" max="3" width="19" customWidth="1"/>
    <col min="4" max="4" width="31.33203125" customWidth="1"/>
    <col min="5" max="5" width="22.6640625" bestFit="1" customWidth="1"/>
    <col min="6" max="6" width="23.6640625" bestFit="1" customWidth="1"/>
    <col min="7" max="7" width="22.21875" bestFit="1" customWidth="1"/>
    <col min="8" max="8" width="30.21875" bestFit="1" customWidth="1"/>
    <col min="9" max="9" width="26.21875" bestFit="1" customWidth="1"/>
    <col min="10" max="10" width="29.44140625" bestFit="1" customWidth="1"/>
    <col min="11" max="11" width="18" customWidth="1"/>
  </cols>
  <sheetData>
    <row r="1" spans="1:11" ht="15.6" x14ac:dyDescent="0.3">
      <c r="A1" s="10" t="s">
        <v>22</v>
      </c>
      <c r="B1" s="10" t="s">
        <v>7</v>
      </c>
      <c r="C1" s="10" t="s">
        <v>23</v>
      </c>
      <c r="D1" s="10" t="s">
        <v>44</v>
      </c>
      <c r="E1" s="10" t="s">
        <v>45</v>
      </c>
      <c r="F1" s="10" t="s">
        <v>46</v>
      </c>
      <c r="G1" s="10" t="s">
        <v>47</v>
      </c>
      <c r="H1" s="10" t="s">
        <v>48</v>
      </c>
      <c r="I1" s="10" t="s">
        <v>49</v>
      </c>
      <c r="J1" s="10" t="s">
        <v>50</v>
      </c>
      <c r="K1" s="10" t="s">
        <v>32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D14"/>
  <sheetViews>
    <sheetView showGridLines="0" zoomScaleNormal="100" workbookViewId="0">
      <selection activeCell="D20" sqref="D20"/>
    </sheetView>
  </sheetViews>
  <sheetFormatPr defaultColWidth="8.6640625" defaultRowHeight="14.4" x14ac:dyDescent="0.3"/>
  <cols>
    <col min="1" max="1" width="3" customWidth="1"/>
    <col min="2" max="2" width="22" customWidth="1"/>
    <col min="3" max="3" width="18" customWidth="1"/>
    <col min="4" max="4" width="40" customWidth="1"/>
    <col min="5" max="9" width="8.6640625" customWidth="1"/>
  </cols>
  <sheetData>
    <row r="2" spans="2:4" ht="27.75" customHeight="1" x14ac:dyDescent="0.3">
      <c r="B2" s="2" t="s">
        <v>51</v>
      </c>
      <c r="C2" s="2"/>
      <c r="D2" s="2"/>
    </row>
    <row r="4" spans="2:4" x14ac:dyDescent="0.3">
      <c r="B4" s="5" t="s">
        <v>7</v>
      </c>
      <c r="C4" s="6"/>
    </row>
    <row r="5" spans="2:4" x14ac:dyDescent="0.3">
      <c r="B5" s="5" t="s">
        <v>9</v>
      </c>
      <c r="C5" s="8"/>
    </row>
    <row r="6" spans="2:4" x14ac:dyDescent="0.3">
      <c r="B6" s="5" t="s">
        <v>52</v>
      </c>
      <c r="C6" s="8"/>
    </row>
    <row r="7" spans="2:4" x14ac:dyDescent="0.3">
      <c r="B7" s="5" t="s">
        <v>53</v>
      </c>
      <c r="C7" s="8"/>
    </row>
    <row r="8" spans="2:4" x14ac:dyDescent="0.3">
      <c r="B8" s="5" t="s">
        <v>54</v>
      </c>
      <c r="C8" s="8"/>
    </row>
    <row r="9" spans="2:4" x14ac:dyDescent="0.3">
      <c r="B9" s="5" t="s">
        <v>55</v>
      </c>
      <c r="C9" s="8"/>
    </row>
    <row r="11" spans="2:4" x14ac:dyDescent="0.3">
      <c r="B11" s="1" t="s">
        <v>21</v>
      </c>
      <c r="C11" s="1"/>
      <c r="D11" s="1"/>
    </row>
    <row r="12" spans="2:4" x14ac:dyDescent="0.3">
      <c r="B12" s="1"/>
      <c r="C12" s="1"/>
      <c r="D12" s="1"/>
    </row>
    <row r="14" spans="2:4" x14ac:dyDescent="0.3">
      <c r="B14" s="7"/>
    </row>
  </sheetData>
  <mergeCells count="2">
    <mergeCell ref="B2:D2"/>
    <mergeCell ref="B11:D12"/>
  </mergeCells>
  <dataValidations count="3">
    <dataValidation type="list" allowBlank="1" sqref="C5" xr:uid="{00000000-0002-0000-0600-000000000000}">
      <formula1>ShiftGroup</formula1>
      <formula2>0</formula2>
    </dataValidation>
    <dataValidation type="list" allowBlank="1" sqref="C6" xr:uid="{00000000-0002-0000-0600-000001000000}">
      <formula1>ExpenseCategory</formula1>
      <formula2>0</formula2>
    </dataValidation>
    <dataValidation type="list" allowBlank="1" sqref="C7" xr:uid="{00000000-0002-0000-0600-000002000000}">
      <formula1>ExpenseOwner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Expense">
                <anchor moveWithCells="1" siz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3</xdr:col>
                    <xdr:colOff>2727960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B5" sqref="B5"/>
    </sheetView>
  </sheetViews>
  <sheetFormatPr defaultColWidth="8.6640625" defaultRowHeight="14.4" x14ac:dyDescent="0.3"/>
  <cols>
    <col min="1" max="1" width="19.21875" customWidth="1"/>
    <col min="2" max="2" width="13.44140625" customWidth="1"/>
    <col min="3" max="3" width="17.77734375" customWidth="1"/>
    <col min="4" max="4" width="24.44140625" customWidth="1"/>
    <col min="5" max="5" width="18.77734375" customWidth="1"/>
    <col min="6" max="6" width="16" customWidth="1"/>
    <col min="7" max="7" width="20.6640625" customWidth="1"/>
    <col min="8" max="8" width="18" customWidth="1"/>
  </cols>
  <sheetData>
    <row r="1" spans="1:8" ht="15.6" x14ac:dyDescent="0.3">
      <c r="A1" s="10" t="s">
        <v>22</v>
      </c>
      <c r="B1" s="10" t="s">
        <v>7</v>
      </c>
      <c r="C1" s="10" t="s">
        <v>23</v>
      </c>
      <c r="D1" s="10" t="s">
        <v>56</v>
      </c>
      <c r="E1" s="10" t="s">
        <v>57</v>
      </c>
      <c r="F1" s="10" t="s">
        <v>58</v>
      </c>
      <c r="G1" s="10" t="s">
        <v>55</v>
      </c>
      <c r="H1" s="10" t="s">
        <v>32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9"/>
  <sheetViews>
    <sheetView showGridLines="0" tabSelected="1" zoomScaleNormal="100" workbookViewId="0"/>
  </sheetViews>
  <sheetFormatPr defaultColWidth="8.6640625" defaultRowHeight="14.4" x14ac:dyDescent="0.3"/>
  <cols>
    <col min="1" max="6" width="22" customWidth="1"/>
  </cols>
  <sheetData>
    <row r="1" spans="1:6" x14ac:dyDescent="0.3">
      <c r="A1" s="11" t="s">
        <v>23</v>
      </c>
      <c r="B1" s="11" t="s">
        <v>10</v>
      </c>
      <c r="C1" s="11" t="s">
        <v>11</v>
      </c>
      <c r="D1" s="11" t="s">
        <v>56</v>
      </c>
      <c r="E1" s="11" t="s">
        <v>57</v>
      </c>
      <c r="F1" s="11" t="s">
        <v>59</v>
      </c>
    </row>
    <row r="2" spans="1:6" x14ac:dyDescent="0.3">
      <c r="A2" t="s">
        <v>60</v>
      </c>
      <c r="B2" t="s">
        <v>61</v>
      </c>
      <c r="C2" t="s">
        <v>62</v>
      </c>
      <c r="D2" t="s">
        <v>63</v>
      </c>
      <c r="E2" t="s">
        <v>64</v>
      </c>
      <c r="F2" t="s">
        <v>65</v>
      </c>
    </row>
    <row r="3" spans="1:6" x14ac:dyDescent="0.3">
      <c r="A3" t="s">
        <v>66</v>
      </c>
      <c r="B3" t="s">
        <v>67</v>
      </c>
      <c r="C3" t="s">
        <v>68</v>
      </c>
      <c r="D3" t="s">
        <v>69</v>
      </c>
      <c r="E3" t="s">
        <v>69</v>
      </c>
      <c r="F3" t="s">
        <v>70</v>
      </c>
    </row>
    <row r="4" spans="1:6" x14ac:dyDescent="0.3">
      <c r="B4" t="s">
        <v>71</v>
      </c>
      <c r="D4" t="s">
        <v>72</v>
      </c>
      <c r="F4" t="s">
        <v>73</v>
      </c>
    </row>
    <row r="5" spans="1:6" x14ac:dyDescent="0.3">
      <c r="B5" t="s">
        <v>74</v>
      </c>
      <c r="D5" t="s">
        <v>75</v>
      </c>
      <c r="F5" t="s">
        <v>76</v>
      </c>
    </row>
    <row r="6" spans="1:6" x14ac:dyDescent="0.3">
      <c r="B6" t="s">
        <v>77</v>
      </c>
      <c r="D6" t="s">
        <v>78</v>
      </c>
      <c r="F6" t="s">
        <v>79</v>
      </c>
    </row>
    <row r="7" spans="1:6" x14ac:dyDescent="0.3">
      <c r="D7" t="s">
        <v>80</v>
      </c>
    </row>
    <row r="8" spans="1:6" x14ac:dyDescent="0.3">
      <c r="D8" t="s">
        <v>81</v>
      </c>
    </row>
    <row r="9" spans="1:6" x14ac:dyDescent="0.3">
      <c r="D9" t="s">
        <v>82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Dashboard</vt:lpstr>
      <vt:lpstr>Entry_FuelSales</vt:lpstr>
      <vt:lpstr>DB_FuelSales</vt:lpstr>
      <vt:lpstr>Entry_CashBanking</vt:lpstr>
      <vt:lpstr>DB_CashBanking</vt:lpstr>
      <vt:lpstr>Entry_Expenses</vt:lpstr>
      <vt:lpstr>DB_Expenses</vt:lpstr>
      <vt:lpstr>Lookups</vt:lpstr>
      <vt:lpstr>Attendant</vt:lpstr>
      <vt:lpstr>Customer</vt:lpstr>
      <vt:lpstr>ExpenseCategory</vt:lpstr>
      <vt:lpstr>ExpenseOwner</vt:lpstr>
      <vt:lpstr>Product</vt:lpstr>
      <vt:lpstr>ShiftGroup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Dickson Antiri</cp:lastModifiedBy>
  <cp:revision>0</cp:revision>
  <dcterms:created xsi:type="dcterms:W3CDTF">2026-07-23T16:05:25Z</dcterms:created>
  <dcterms:modified xsi:type="dcterms:W3CDTF">2026-10-07T12:20:48Z</dcterms:modified>
  <dc:language>en-US</dc:language>
</cp:coreProperties>
</file>